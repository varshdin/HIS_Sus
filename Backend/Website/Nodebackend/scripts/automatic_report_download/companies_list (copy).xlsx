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AX" sheetId="1" state="visible" r:id="rId2"/>
    <sheet name="MDAX" sheetId="2" state="visible" r:id="rId3"/>
    <sheet name="AllCompanie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<sst xmlns="http://schemas.openxmlformats.org/spreadsheetml/2006/main" count="504" uniqueCount="334">
  <si>
    <t xml:space="preserve">Number of
Shares</t>
  </si>
  <si>
    <t xml:space="preserve">Free-float-
in Mio. €</t>
  </si>
  <si>
    <t xml:space="preserve">TYPE</t>
  </si>
  <si>
    <t xml:space="preserve">id</t>
  </si>
  <si>
    <t xml:space="preserve">Status</t>
  </si>
  <si>
    <t xml:space="preserve">Company Name</t>
  </si>
  <si>
    <t xml:space="preserve">Link</t>
  </si>
  <si>
    <t xml:space="preserve">Page containing report</t>
  </si>
  <si>
    <t xml:space="preserve">Category</t>
  </si>
  <si>
    <t xml:space="preserve">JavaScript</t>
  </si>
  <si>
    <t xml:space="preserve">MDAX	1	Done		Aareal Bank AG	https://www.aareal-bank.com/en/	https://www.aareal-bank.com/en/responsibility/managing-sustainability	Tabular	Bank	0,42	059.857.221	1.071,44	Wiesbaden	ARL	a.icon.pdf
</t>
  </si>
  <si>
    <t xml:space="preserve">Not finished</t>
  </si>
  <si>
    <t xml:space="preserve">Aareal Bank AG</t>
  </si>
  <si>
    <t xml:space="preserve">https://www.aareal-bank.com/en/</t>
  </si>
  <si>
    <t xml:space="preserve">https://www.aareal-bank.com/en/downloadcenter</t>
  </si>
  <si>
    <t xml:space="preserve">Bank</t>
  </si>
  <si>
    <t xml:space="preserve">n</t>
  </si>
  <si>
    <t xml:space="preserve">MDAX</t>
  </si>
  <si>
    <t xml:space="preserve">Done</t>
  </si>
  <si>
    <t xml:space="preserve">Airbus SE</t>
  </si>
  <si>
    <t xml:space="preserve">https://www.airbus.com/en</t>
  </si>
  <si>
    <t xml:space="preserve">https://www.airbus.com/en/sustainability/reporting-and-performance-data/gri-reporting-performance-data</t>
  </si>
  <si>
    <t xml:space="preserve">Aerospace, Defence</t>
  </si>
  <si>
    <t xml:space="preserve">Leiden (Netherlands), Toulouse (France)</t>
  </si>
  <si>
    <t xml:space="preserve">AIR</t>
  </si>
  <si>
    <t xml:space="preserve">y</t>
  </si>
  <si>
    <t xml:space="preserve">Aixtron SE</t>
  </si>
  <si>
    <t xml:space="preserve">https://www.aixtron.com/</t>
  </si>
  <si>
    <t xml:space="preserve">https://www.aixtron.com/en/sustainability/sustainability</t>
  </si>
  <si>
    <t xml:space="preserve">Semiconductor industry</t>
  </si>
  <si>
    <t xml:space="preserve">Herzogenrath</t>
  </si>
  <si>
    <t xml:space="preserve">AIXA</t>
  </si>
  <si>
    <t xml:space="preserve">Excluded</t>
  </si>
  <si>
    <t xml:space="preserve">Alstria Office REIT-AG</t>
  </si>
  <si>
    <t xml:space="preserve">https://alstria.de/</t>
  </si>
  <si>
    <t xml:space="preserve">https://alstria.com/sustainability/#reports</t>
  </si>
  <si>
    <t xml:space="preserve">Real estate</t>
  </si>
  <si>
    <t xml:space="preserve">Hamburg</t>
  </si>
  <si>
    <t xml:space="preserve">AOX</t>
  </si>
  <si>
    <t xml:space="preserve">Aroundtown S.A.</t>
  </si>
  <si>
    <t xml:space="preserve">https://www.aroundtown.de/</t>
  </si>
  <si>
    <t xml:space="preserve">https://www.aroundtown.de/sustainability/</t>
  </si>
  <si>
    <t xml:space="preserve">Luxemburg</t>
  </si>
  <si>
    <t xml:space="preserve">AT1</t>
  </si>
  <si>
    <t xml:space="preserve">Aurubis AG</t>
  </si>
  <si>
    <t xml:space="preserve">https://www.aurubis.com/en/</t>
  </si>
  <si>
    <t xml:space="preserve">https://www.aurubis.com/en/responsibility/reporting-kpis-and-esg-ratings</t>
  </si>
  <si>
    <t xml:space="preserve">Metals</t>
  </si>
  <si>
    <t xml:space="preserve">NDA</t>
  </si>
  <si>
    <t xml:space="preserve">Bechtle AG</t>
  </si>
  <si>
    <t xml:space="preserve">https://www.bechtle.com/de-en</t>
  </si>
  <si>
    <t xml:space="preserve">https://www.bechtle.com/de-en/about-bechtle/sustainability</t>
  </si>
  <si>
    <t xml:space="preserve">IT services</t>
  </si>
  <si>
    <t xml:space="preserve">Neckarsulm</t>
  </si>
  <si>
    <t xml:space="preserve">BC8</t>
  </si>
  <si>
    <t xml:space="preserve">Brenntag AG</t>
  </si>
  <si>
    <t xml:space="preserve">https://www.brenntag.com/de-de/</t>
  </si>
  <si>
    <t xml:space="preserve">https://corporate.brenntag.com/en/sustainability/downloads-and-contact/</t>
  </si>
  <si>
    <t xml:space="preserve">Chemical distribution</t>
  </si>
  <si>
    <t xml:space="preserve">Essen</t>
  </si>
  <si>
    <t xml:space="preserve">BNR</t>
  </si>
  <si>
    <t xml:space="preserve">Cancom SE</t>
  </si>
  <si>
    <t xml:space="preserve">https://www.cancom.com/</t>
  </si>
  <si>
    <t xml:space="preserve">https://sustainability.cancom.com/</t>
  </si>
  <si>
    <t xml:space="preserve">München</t>
  </si>
  <si>
    <t xml:space="preserve">COK</t>
  </si>
  <si>
    <t xml:space="preserve">n </t>
  </si>
  <si>
    <t xml:space="preserve">Carl Zeiss Meditec AG</t>
  </si>
  <si>
    <t xml:space="preserve">https://www.zeiss.com/corporate/int/home.html</t>
  </si>
  <si>
    <t xml:space="preserve">https://www.zeiss.com/corporate/int/about-zeiss/sustainability.html</t>
  </si>
  <si>
    <t xml:space="preserve">Medical technology</t>
  </si>
  <si>
    <t xml:space="preserve">Jena</t>
  </si>
  <si>
    <t xml:space="preserve">AFX</t>
  </si>
  <si>
    <t xml:space="preserve">Commerzbank AG</t>
  </si>
  <si>
    <t xml:space="preserve">https://www.commerzbank.de/</t>
  </si>
  <si>
    <t xml:space="preserve">https://www.commerzbank.de/en/nachhaltigkeit/daten___fakten/publikationen/nichtfinanzielle_erklaerung/nfe_1.html</t>
  </si>
  <si>
    <t xml:space="preserve">Frankfurt</t>
  </si>
  <si>
    <t xml:space="preserve">CBK</t>
  </si>
  <si>
    <t xml:space="preserve">CompuGroup Medical SE</t>
  </si>
  <si>
    <t xml:space="preserve">https://www.cgm.com/deu_de</t>
  </si>
  <si>
    <t xml:space="preserve">https://www.cgm.com/corp_en/company/ir-en/publications/esg-en.html</t>
  </si>
  <si>
    <t xml:space="preserve">Software</t>
  </si>
  <si>
    <t xml:space="preserve">Koblenz</t>
  </si>
  <si>
    <t xml:space="preserve">COP</t>
  </si>
  <si>
    <t xml:space="preserve">CTS Eventim AG &amp; Co. KGaA</t>
  </si>
  <si>
    <t xml:space="preserve">https://corporate.eventim.de/en/</t>
  </si>
  <si>
    <t xml:space="preserve">https://corporate.eventim.de/en/company/responsibility/</t>
  </si>
  <si>
    <t xml:space="preserve">Leisure-events</t>
  </si>
  <si>
    <t xml:space="preserve">EVD</t>
  </si>
  <si>
    <t xml:space="preserve">Deutsche Lufthansa AG</t>
  </si>
  <si>
    <t xml:space="preserve">https://www.lufthansagroup.com/en</t>
  </si>
  <si>
    <t xml:space="preserve">https://www.lufthansagroup.com/en/responsibility/reports.html</t>
  </si>
  <si>
    <t xml:space="preserve">Airlines</t>
  </si>
  <si>
    <t xml:space="preserve">Köln</t>
  </si>
  <si>
    <t xml:space="preserve">LHA</t>
  </si>
  <si>
    <t xml:space="preserve">Dürr AG</t>
  </si>
  <si>
    <t xml:space="preserve">https://www.durr.com/de/</t>
  </si>
  <si>
    <t xml:space="preserve">https://www.durr-group.com/en/sustainability/documents-ratings-certificates</t>
  </si>
  <si>
    <t xml:space="preserve">Plant and machinery construction</t>
  </si>
  <si>
    <t xml:space="preserve">Bietigheim-Bissingen</t>
  </si>
  <si>
    <t xml:space="preserve">DUE</t>
  </si>
  <si>
    <t xml:space="preserve">Evonik Industries AG</t>
  </si>
  <si>
    <t xml:space="preserve">https://corporate.evonik.com/de</t>
  </si>
  <si>
    <t xml:space="preserve">https://corporate.evonik.com/en/investor-relations/reports/cr-reports</t>
  </si>
  <si>
    <t xml:space="preserve">Chemistry</t>
  </si>
  <si>
    <t xml:space="preserve">EVK</t>
  </si>
  <si>
    <t xml:space="preserve">Reported</t>
  </si>
  <si>
    <t xml:space="preserve">Evotec SE</t>
  </si>
  <si>
    <t xml:space="preserve">https://www.evotec.com/en</t>
  </si>
  <si>
    <t xml:space="preserve">https://www.evotec.com/en/invest/financial-publications/financial-reports</t>
  </si>
  <si>
    <t xml:space="preserve">Biotechnology</t>
  </si>
  <si>
    <t xml:space="preserve">EVT</t>
  </si>
  <si>
    <t xml:space="preserve">Fraport AG</t>
  </si>
  <si>
    <t xml:space="preserve">https://www.fraport.com/de.html</t>
  </si>
  <si>
    <t xml:space="preserve">https://www.fraport.com/en/newsroom/publications.html</t>
  </si>
  <si>
    <t xml:space="preserve">Airport operator</t>
  </si>
  <si>
    <t xml:space="preserve">Frankfurt am Main</t>
  </si>
  <si>
    <t xml:space="preserve">FRA</t>
  </si>
  <si>
    <t xml:space="preserve">Freenet AG</t>
  </si>
  <si>
    <t xml:space="preserve">https://www.freenet-group.de/</t>
  </si>
  <si>
    <t xml:space="preserve">https://www.freenet.ag/en/investor-relations/publications/financial-reports/index.html</t>
  </si>
  <si>
    <t xml:space="preserve">Telecommunications</t>
  </si>
  <si>
    <t xml:space="preserve">Büdelsdorf</t>
  </si>
  <si>
    <t xml:space="preserve">FNTN</t>
  </si>
  <si>
    <t xml:space="preserve">Fuchs Petrolub SE</t>
  </si>
  <si>
    <t xml:space="preserve">https://www.fuchs.com/group/</t>
  </si>
  <si>
    <t xml:space="preserve">https://www.fuchs.com/group/technology-sustainability/sustainability/sustainability-reports/</t>
  </si>
  <si>
    <t xml:space="preserve">Mannheim</t>
  </si>
  <si>
    <t xml:space="preserve">FPE3</t>
  </si>
  <si>
    <t xml:space="preserve">GEA Group AG</t>
  </si>
  <si>
    <t xml:space="preserve">https://www.gea.com/en/index.jsp</t>
  </si>
  <si>
    <t xml:space="preserve">https://www.gea.com/en/company/sustainability/index.jsp</t>
  </si>
  <si>
    <t xml:space="preserve">Machinery</t>
  </si>
  <si>
    <t xml:space="preserve">Düsseldorf</t>
  </si>
  <si>
    <t xml:space="preserve">G1A</t>
  </si>
  <si>
    <t xml:space="preserve">Gerresheimer AG</t>
  </si>
  <si>
    <t xml:space="preserve">https://www.gerresheimer.com/en/home</t>
  </si>
  <si>
    <t xml:space="preserve">https://www.gerresheimer.com/en/sustainability/downloads</t>
  </si>
  <si>
    <t xml:space="preserve">Packaging</t>
  </si>
  <si>
    <t xml:space="preserve">GXI</t>
  </si>
  <si>
    <t xml:space="preserve">Grand City Properties S.A.</t>
  </si>
  <si>
    <t xml:space="preserve">https://www.grandcityproperties.com/home/</t>
  </si>
  <si>
    <t xml:space="preserve">https://www.grandcityproperties.com/sustainability/report-archive/</t>
  </si>
  <si>
    <t xml:space="preserve">Luxemburg (Luxemburg)</t>
  </si>
  <si>
    <t xml:space="preserve">GYC</t>
  </si>
  <si>
    <t xml:space="preserve">Grenke AG</t>
  </si>
  <si>
    <t xml:space="preserve">https://www.grenke.de/</t>
  </si>
  <si>
    <t xml:space="preserve">https://www.grenke.com/investor-relations/reports-and-presentations/</t>
  </si>
  <si>
    <t xml:space="preserve">Finance</t>
  </si>
  <si>
    <t xml:space="preserve">Baden-Baden</t>
  </si>
  <si>
    <t xml:space="preserve">GLJ</t>
  </si>
  <si>
    <t xml:space="preserve">Hannover RE</t>
  </si>
  <si>
    <t xml:space="preserve">https://www.hannover-rueck.de/</t>
  </si>
  <si>
    <t xml:space="preserve">https://www.hannover-re.com/366758/media-centre</t>
  </si>
  <si>
    <t xml:space="preserve">Reinsurance</t>
  </si>
  <si>
    <t xml:space="preserve">Hannover</t>
  </si>
  <si>
    <t xml:space="preserve">HNR1</t>
  </si>
  <si>
    <t xml:space="preserve">HELLA GmbH &amp; Co. KGaA</t>
  </si>
  <si>
    <t xml:space="preserve">https://www.hella.com/hella-com/de/index.html</t>
  </si>
  <si>
    <t xml:space="preserve">https://www.hella.com/hella-com/en/Annual-report-and-consolidated-financial-statement-8740.html</t>
  </si>
  <si>
    <t xml:space="preserve">Automotive</t>
  </si>
  <si>
    <t xml:space="preserve">Lippstadt</t>
  </si>
  <si>
    <t xml:space="preserve">HLE</t>
  </si>
  <si>
    <t xml:space="preserve">HelloFresh SE</t>
  </si>
  <si>
    <t xml:space="preserve">https://www.hellofresh.de/</t>
  </si>
  <si>
    <t xml:space="preserve">https://ir.hellofreshgroup.com/websites/hellofresh/English/2000/publications.html#publication-all</t>
  </si>
  <si>
    <t xml:space="preserve">Meal kit</t>
  </si>
  <si>
    <t xml:space="preserve">Berlin</t>
  </si>
  <si>
    <t xml:space="preserve">HFG</t>
  </si>
  <si>
    <t xml:space="preserve">Hochtief AG</t>
  </si>
  <si>
    <t xml:space="preserve">https://www.hochtief.de/</t>
  </si>
  <si>
    <t xml:space="preserve">https://www.hochtief.com/sustainability/key-figures</t>
  </si>
  <si>
    <t xml:space="preserve">Construction</t>
  </si>
  <si>
    <t xml:space="preserve">HOT</t>
  </si>
  <si>
    <t xml:space="preserve">Hugo Boss AG</t>
  </si>
  <si>
    <t xml:space="preserve">https://group.hugoboss.com/de</t>
  </si>
  <si>
    <t xml:space="preserve">https://group.hugoboss.com/en/responsibility/news-and-downloads/sustainability-reports</t>
  </si>
  <si>
    <t xml:space="preserve">Clothing, Accessories</t>
  </si>
  <si>
    <t xml:space="preserve">Metzingen</t>
  </si>
  <si>
    <t xml:space="preserve">BOSS</t>
  </si>
  <si>
    <t xml:space="preserve">K+S AG</t>
  </si>
  <si>
    <t xml:space="preserve">https://www.kpluss.com/en-us/</t>
  </si>
  <si>
    <t xml:space="preserve">https://www.kpluss.com/en-us/press/media-library/publications/</t>
  </si>
  <si>
    <t xml:space="preserve">Mining (fertilizer and salt)</t>
  </si>
  <si>
    <t xml:space="preserve">Kassel</t>
  </si>
  <si>
    <t xml:space="preserve">SDF</t>
  </si>
  <si>
    <t xml:space="preserve">Kion Group AG</t>
  </si>
  <si>
    <t xml:space="preserve">https://www.kiongroup.com/en/</t>
  </si>
  <si>
    <t xml:space="preserve">https://www.kiongroup.com/en/About-us/Sustainability/</t>
  </si>
  <si>
    <t xml:space="preserve">Handling equipment</t>
  </si>
  <si>
    <t xml:space="preserve">KGX</t>
  </si>
  <si>
    <t xml:space="preserve">Knorr-Bremse AG</t>
  </si>
  <si>
    <t xml:space="preserve">https://www.knorr-bremse.com/en/</t>
  </si>
  <si>
    <t xml:space="preserve">https://ir.knorr-bremse.com/websites/Knorrbremse_ir/English/3000/financial-publications-_-presentations.html</t>
  </si>
  <si>
    <t xml:space="preserve">Manufacturing</t>
  </si>
  <si>
    <t xml:space="preserve">KBX</t>
  </si>
  <si>
    <t xml:space="preserve">Lanxess AG</t>
  </si>
  <si>
    <t xml:space="preserve">https://lanxess.com/de-DE</t>
  </si>
  <si>
    <t xml:space="preserve">https://lanxess.com/en/Investors/Reporting</t>
  </si>
  <si>
    <t xml:space="preserve">LXS</t>
  </si>
  <si>
    <t xml:space="preserve">LEG Immobilien AG</t>
  </si>
  <si>
    <t xml:space="preserve">https://www.leg-wohnen.de/</t>
  </si>
  <si>
    <t xml:space="preserve">https://www.leg-wohnen.de/unternehmen/nachhaltigkeit/nachhaltigkeitsberichte</t>
  </si>
  <si>
    <t xml:space="preserve">LEG</t>
  </si>
  <si>
    <t xml:space="preserve">Metro AG</t>
  </si>
  <si>
    <t xml:space="preserve">https://www.metroag.de/en</t>
  </si>
  <si>
    <t xml:space="preserve">https://responsibility.metroag.de/publications#down_q=Sustainability%20Report</t>
  </si>
  <si>
    <t xml:space="preserve">Wholesale</t>
  </si>
  <si>
    <t xml:space="preserve">B4B</t>
  </si>
  <si>
    <t xml:space="preserve">Morphosys AG</t>
  </si>
  <si>
    <t xml:space="preserve">https://www.morphosys.com/en/home</t>
  </si>
  <si>
    <t xml:space="preserve">https://www.morphosys.com/us/about-us/responsibility</t>
  </si>
  <si>
    <t xml:space="preserve">Martinsried</t>
  </si>
  <si>
    <t xml:space="preserve">MOR</t>
  </si>
  <si>
    <t xml:space="preserve">Nemetschek SE</t>
  </si>
  <si>
    <t xml:space="preserve">https://www.nemetschek.com/en</t>
  </si>
  <si>
    <t xml:space="preserve">https://www.nemetschek.com/en/responsibility</t>
  </si>
  <si>
    <t xml:space="preserve">NEM</t>
  </si>
  <si>
    <t xml:space="preserve">OSRAM Licht AG</t>
  </si>
  <si>
    <t xml:space="preserve">https://www.osram-group.de/</t>
  </si>
  <si>
    <t xml:space="preserve">https://ams-osram.com/about-us/sustainability/sustainability-reporting</t>
  </si>
  <si>
    <t xml:space="preserve">Lighting</t>
  </si>
  <si>
    <t xml:space="preserve">OSR</t>
  </si>
  <si>
    <t xml:space="preserve">ProSiebenSat.1 Media SE</t>
  </si>
  <si>
    <t xml:space="preserve">https://www.prosiebensat1.com/</t>
  </si>
  <si>
    <t xml:space="preserve">https://www.prosiebensat1.com/en/sustainability/information/publications</t>
  </si>
  <si>
    <t xml:space="preserve">Media</t>
  </si>
  <si>
    <t xml:space="preserve">Unterföhring</t>
  </si>
  <si>
    <t xml:space="preserve">PSM</t>
  </si>
  <si>
    <t xml:space="preserve">Puma SE</t>
  </si>
  <si>
    <t xml:space="preserve">https://about.puma.com/en/</t>
  </si>
  <si>
    <t xml:space="preserve">https://about.puma.com/en/sustainability/reporting</t>
  </si>
  <si>
    <t xml:space="preserve">Sports equipment</t>
  </si>
  <si>
    <t xml:space="preserve">Herzogenaurach</t>
  </si>
  <si>
    <t xml:space="preserve">PUM</t>
  </si>
  <si>
    <t xml:space="preserve">Qiagen N.V.</t>
  </si>
  <si>
    <t xml:space="preserve">https://www.qiagen.com/us</t>
  </si>
  <si>
    <t xml:space="preserve">https://www.qiagen.com/us/sustainability</t>
  </si>
  <si>
    <t xml:space="preserve">Venlo (Netherlands)</t>
  </si>
  <si>
    <t xml:space="preserve">QGEN</t>
  </si>
  <si>
    <t xml:space="preserve">Rational AG</t>
  </si>
  <si>
    <t xml:space="preserve">https://www.rational-online.com/de_de/home/</t>
  </si>
  <si>
    <t xml:space="preserve">https://www.rational-online.com/en_xx/company/investor-relations/publications/#882130</t>
  </si>
  <si>
    <t xml:space="preserve">Landsberg am Lech</t>
  </si>
  <si>
    <t xml:space="preserve">RAA</t>
  </si>
  <si>
    <t xml:space="preserve">Rheinmetall AG</t>
  </si>
  <si>
    <t xml:space="preserve">https://www.rheinmetall.com/en/rheinmetall_ag/home.php</t>
  </si>
  <si>
    <t xml:space="preserve">https://ir.rheinmetall.com/websites/rheinmetall/English/3031/annual-reports.html</t>
  </si>
  <si>
    <t xml:space="preserve">Defence</t>
  </si>
  <si>
    <t xml:space="preserve">RHM</t>
  </si>
  <si>
    <t xml:space="preserve">Rocket Internet SE</t>
  </si>
  <si>
    <t xml:space="preserve">https://www.rocket-internet.com/</t>
  </si>
  <si>
    <t xml:space="preserve">https://www.rocket-internet.com/investors/leadership-governance</t>
  </si>
  <si>
    <t xml:space="preserve">Venture capital</t>
  </si>
  <si>
    <t xml:space="preserve">RKET</t>
  </si>
  <si>
    <t xml:space="preserve">RTL Group SA</t>
  </si>
  <si>
    <t xml:space="preserve">https://company.rtl.com/en/</t>
  </si>
  <si>
    <t xml:space="preserve">https://company.rtl.com/en/responsibility/cr-policies-and-guidelines/</t>
  </si>
  <si>
    <t xml:space="preserve">RRTL</t>
  </si>
  <si>
    <t xml:space="preserve">Sartorius AG</t>
  </si>
  <si>
    <t xml:space="preserve">https://www.sartorius.com/en/company</t>
  </si>
  <si>
    <t xml:space="preserve">https://www.sartorius.com/en/company/investor-relations/sartorius-ag-investor-relations/news-financial-publications</t>
  </si>
  <si>
    <t xml:space="preserve">Pharmaceutical and laboratory equipment</t>
  </si>
  <si>
    <t xml:space="preserve">Göttingen</t>
  </si>
  <si>
    <t xml:space="preserve">SRT</t>
  </si>
  <si>
    <t xml:space="preserve">Scout24 AG</t>
  </si>
  <si>
    <t xml:space="preserve">https://www.scout24.com/en/</t>
  </si>
  <si>
    <t xml:space="preserve">https://www.scout24.com/en/sustainability</t>
  </si>
  <si>
    <t xml:space="preserve">Online-market</t>
  </si>
  <si>
    <t xml:space="preserve">G24</t>
  </si>
  <si>
    <t xml:space="preserve">Siemens Healthineers AG</t>
  </si>
  <si>
    <t xml:space="preserve">https://www.siemens-healthineers.com/</t>
  </si>
  <si>
    <t xml:space="preserve">https://www.siemens-healthineers.com/investor-relations/presentations-financial-publications</t>
  </si>
  <si>
    <t xml:space="preserve">Erlangen</t>
  </si>
  <si>
    <t xml:space="preserve">SHL</t>
  </si>
  <si>
    <t xml:space="preserve">Siltronic AG</t>
  </si>
  <si>
    <t xml:space="preserve">https://www.siltronic.com/en/index.html</t>
  </si>
  <si>
    <t xml:space="preserve">https://www.siltronic.com/en/our-company/sustainability/translate-to-english-archiv.html</t>
  </si>
  <si>
    <t xml:space="preserve">WAF</t>
  </si>
  <si>
    <t xml:space="preserve">Software AG</t>
  </si>
  <si>
    <t xml:space="preserve">https://www.softwareag.com/en_corporate.html</t>
  </si>
  <si>
    <t xml:space="preserve">https://investors.softwareag.com/en_en/financial-results--news--events/result-center/annual-reports-sow.html</t>
  </si>
  <si>
    <t xml:space="preserve">Darmstadt</t>
  </si>
  <si>
    <t xml:space="preserve">SOW</t>
  </si>
  <si>
    <t xml:space="preserve">Ströer SE &amp; Co. KGaA</t>
  </si>
  <si>
    <t xml:space="preserve">https://www.stroeer.de/</t>
  </si>
  <si>
    <t xml:space="preserve">https://ir.stroeer.com/investor-relations/financial-reports/</t>
  </si>
  <si>
    <t xml:space="preserve">Media, out-of-home advertising</t>
  </si>
  <si>
    <t xml:space="preserve">SAX</t>
  </si>
  <si>
    <t xml:space="preserve">Symrise AG</t>
  </si>
  <si>
    <t xml:space="preserve">https://www.symrise.com/</t>
  </si>
  <si>
    <t xml:space="preserve">https://www.symrise.com/sustainability/reports-policies-standards-audits/#our-corporate-reports</t>
  </si>
  <si>
    <t xml:space="preserve">Holzminden</t>
  </si>
  <si>
    <t xml:space="preserve">SY1</t>
  </si>
  <si>
    <t xml:space="preserve">TAG Immobilien AG</t>
  </si>
  <si>
    <t xml:space="preserve">https://www.tag-ag.com/</t>
  </si>
  <si>
    <t xml:space="preserve">https://www.tag-ag.com/nachhaltigkeit/nachhaltigkeitsberichte</t>
  </si>
  <si>
    <t xml:space="preserve">TEG</t>
  </si>
  <si>
    <t xml:space="preserve">TeamViewer AG</t>
  </si>
  <si>
    <t xml:space="preserve">https://www.teamviewer.com/</t>
  </si>
  <si>
    <t xml:space="preserve">https://www.teamviewer.com/en/company/sustainability-csr/</t>
  </si>
  <si>
    <t xml:space="preserve">Göppingen</t>
  </si>
  <si>
    <t xml:space="preserve">TMV</t>
  </si>
  <si>
    <t xml:space="preserve">Telefónica Deutschland Holding AG</t>
  </si>
  <si>
    <t xml:space="preserve">https://www.telefonica.de/</t>
  </si>
  <si>
    <t xml:space="preserve">https://www.telefonica.de/investor-relations-en/publications/financial-publications.html</t>
  </si>
  <si>
    <t xml:space="preserve">O2D</t>
  </si>
  <si>
    <t xml:space="preserve">Thyssenkrupp AG</t>
  </si>
  <si>
    <t xml:space="preserve">https://www.thyssenkrupp.com/</t>
  </si>
  <si>
    <t xml:space="preserve">https://www.thyssenkrupp.com/en/investors/reporting-and-publications/archiv</t>
  </si>
  <si>
    <t xml:space="preserve">Conglomerate</t>
  </si>
  <si>
    <t xml:space="preserve">Essen and Duisburg</t>
  </si>
  <si>
    <t xml:space="preserve">TKA</t>
  </si>
  <si>
    <t xml:space="preserve">Uniper SE</t>
  </si>
  <si>
    <t xml:space="preserve">https://www.uniper.energy/</t>
  </si>
  <si>
    <t xml:space="preserve">https://www.uniper.energy/investors/reports-and-presentations</t>
  </si>
  <si>
    <t xml:space="preserve">Electric utility</t>
  </si>
  <si>
    <t xml:space="preserve">UN01</t>
  </si>
  <si>
    <t xml:space="preserve">United Internet AG</t>
  </si>
  <si>
    <t xml:space="preserve">https://www.united-internet.de/en/</t>
  </si>
  <si>
    <t xml:space="preserve">https://www.united-internet.de/en/investor-relations/publications/reports.html</t>
  </si>
  <si>
    <t xml:space="preserve">Montabaur</t>
  </si>
  <si>
    <t xml:space="preserve">UTDI</t>
  </si>
  <si>
    <t xml:space="preserve">Varta AG</t>
  </si>
  <si>
    <t xml:space="preserve">https://www.varta-ag.com/de/</t>
  </si>
  <si>
    <t xml:space="preserve">https://www.varta-ag.com/en/investoren/publications</t>
  </si>
  <si>
    <t xml:space="preserve">Electrical equipment</t>
  </si>
  <si>
    <t xml:space="preserve">Ellwangen</t>
  </si>
  <si>
    <t xml:space="preserve">VAR1</t>
  </si>
  <si>
    <t xml:space="preserve">Zalando SE</t>
  </si>
  <si>
    <t xml:space="preserve">https://en.zalando.de/?_rfl=de</t>
  </si>
  <si>
    <t xml:space="preserve">https://corporate.zalando.com/en/our-impact/downloads-and-contact</t>
  </si>
  <si>
    <t xml:space="preserve">Online retailing</t>
  </si>
  <si>
    <t xml:space="preserve">ZAL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</si>
</sst>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u val="single"/>
      <sz val="11"/>
      <color rgb="FF0000FF"/>
      <name val="Calibri"/>
      <family val="2"/>
      <charset val="1"/>
    </font>
    <font>
      <u val="single"/>
      <sz val="11"/>
      <color rgb="FF000000"/>
      <name val="Calibri"/>
      <family val="2"/>
      <charset val="1"/>
    </font>
    <font>
      <u val="single"/>
      <sz val="10"/>
      <color rgb="FF1155CC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4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aareal-bank.com/en/downloadcenter" TargetMode="External"/><Relationship Id="rId2" Type="http://schemas.openxmlformats.org/officeDocument/2006/relationships/hyperlink" Target="https://www.airbus.com/en/sustainability/reporting-and-performance-data/gri-reporting-performance-data" TargetMode="External"/><Relationship Id="rId3" Type="http://schemas.openxmlformats.org/officeDocument/2006/relationships/hyperlink" Target="https://www.aixtron.com/en/sustainability/sustainability" TargetMode="External"/><Relationship Id="rId4" Type="http://schemas.openxmlformats.org/officeDocument/2006/relationships/hyperlink" Target="https://alstria.com/sustainability/" TargetMode="External"/><Relationship Id="rId5" Type="http://schemas.openxmlformats.org/officeDocument/2006/relationships/hyperlink" Target="https://www.aroundtown.de/sustainability/" TargetMode="External"/><Relationship Id="rId6" Type="http://schemas.openxmlformats.org/officeDocument/2006/relationships/hyperlink" Target="https://sustainability.cancom.com/" TargetMode="External"/><Relationship Id="rId7" Type="http://schemas.openxmlformats.org/officeDocument/2006/relationships/hyperlink" Target="https://www.zeiss.com/corporate/int/about-zeiss/sustainability.html" TargetMode="External"/><Relationship Id="rId8" Type="http://schemas.openxmlformats.org/officeDocument/2006/relationships/hyperlink" Target="https://www.commerzbank.de/en/nachhaltigkeit/daten___fakten/publikationen/nichtfinanzielle_erklaerung/nfe_1.html" TargetMode="External"/><Relationship Id="rId9" Type="http://schemas.openxmlformats.org/officeDocument/2006/relationships/hyperlink" Target="https://www.lufthansagroup.com/en/responsibility/reports.html" TargetMode="External"/><Relationship Id="rId10" Type="http://schemas.openxmlformats.org/officeDocument/2006/relationships/hyperlink" Target="https://www.evotec.com/en/invest/financial-publications/financial-reports" TargetMode="External"/><Relationship Id="rId11" Type="http://schemas.openxmlformats.org/officeDocument/2006/relationships/hyperlink" Target="https://www.gea.com/en/company/sustainability/index.jsp" TargetMode="External"/><Relationship Id="rId12" Type="http://schemas.openxmlformats.org/officeDocument/2006/relationships/hyperlink" Target="https://www.grenke.com/investor-relations/reports-and-presentations/" TargetMode="External"/><Relationship Id="rId13" Type="http://schemas.openxmlformats.org/officeDocument/2006/relationships/hyperlink" Target="https://www.hochtief.com/sustainability/key-figures" TargetMode="External"/><Relationship Id="rId14" Type="http://schemas.openxmlformats.org/officeDocument/2006/relationships/hyperlink" Target="https://www.rational-online.com/en_xx/company/investor-relations/publications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61:61 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3.57"/>
    <col collapsed="false" customWidth="true" hidden="false" outlineLevel="0" max="5" min="2" style="2" width="13.57"/>
    <col collapsed="false" customWidth="true" hidden="false" outlineLevel="0" max="6" min="6" style="3" width="13.57"/>
    <col collapsed="false" customWidth="true" hidden="false" outlineLevel="0" max="7" min="7" style="2" width="13.57"/>
    <col collapsed="false" customWidth="true" hidden="false" outlineLevel="0" max="8" min="8" style="1" width="13.57"/>
  </cols>
  <sheetData>
    <row r="1" customFormat="false" ht="18.75" hidden="false" customHeight="true" outlineLevel="0" collapsed="false">
      <c r="A1" s="4"/>
      <c r="B1" s="5" t="str">
        <f aca="false">IFERROR(__xludf.dummyfunction("IMPORTHTML(""https://en.wikipedia.org/wiki/DAX#Components"",""table"",4)"),"")</f>
        <v/>
      </c>
      <c r="C1" s="5" t="str">
        <f aca="false">IFERROR(__xludf.dummyfunction("""COMPUTED_VALUE"""),"Company")</f>
        <v>Company</v>
      </c>
      <c r="D1" s="5" t="str">
        <f aca="false">IFERROR(__xludf.dummyfunction("""COMPUTED_VALUE"""),"Prime Standard Sector")</f>
        <v>Prime Standard Sector</v>
      </c>
      <c r="E1" s="5" t="str">
        <f aca="false">IFERROR(__xludf.dummyfunction("""COMPUTED_VALUE"""),"Ticker symbol")</f>
        <v>Ticker symbol</v>
      </c>
      <c r="F1" s="6" t="str">
        <f aca="false">IFERROR(__xludf.dummyfunction("""COMPUTED_VALUE"""),"Index weighting (%)1")</f>
        <v>Index weighting (%)1</v>
      </c>
      <c r="G1" s="5" t="str">
        <f aca="false">IFERROR(__xludf.dummyfunction("""COMPUTED_VALUE"""),"Employees")</f>
        <v>Employees</v>
      </c>
      <c r="H1" s="7" t="str">
        <f aca="false">IFERROR(__xludf.dummyfunction("""COMPUTED_VALUE"""),"Founded")</f>
        <v>Founded</v>
      </c>
    </row>
    <row r="2" customFormat="false" ht="18.75" hidden="false" customHeight="true" outlineLevel="0" collapsed="false">
      <c r="A2" s="8" t="n">
        <v>1</v>
      </c>
      <c r="B2" s="5"/>
      <c r="C2" s="5" t="str">
        <f aca="false">IFERROR(__xludf.dummyfunction("""COMPUTED_VALUE"""),"Adidas")</f>
        <v>Adidas</v>
      </c>
      <c r="D2" s="5" t="str">
        <f aca="false">IFERROR(__xludf.dummyfunction("""COMPUTED_VALUE"""),"Textile")</f>
        <v>Textile</v>
      </c>
      <c r="E2" s="9" t="str">
        <f aca="false">IFERROR(__xludf.dummyfunction("""COMPUTED_VALUE"""),"ADS.DE")</f>
        <v>ADS.DE</v>
      </c>
      <c r="F2" s="10" t="n">
        <f aca="false">IFERROR(__xludf.dummyfunction("""COMPUTED_VALUE"""),2.5)</f>
        <v>2.5</v>
      </c>
      <c r="G2" s="5" t="str">
        <f aca="false">IFERROR(__xludf.dummyfunction("""COMPUTED_VALUE"""),"061,401 (2021)")</f>
        <v>061,401 (2021)</v>
      </c>
      <c r="H2" s="8" t="n">
        <f aca="false">IFERROR(__xludf.dummyfunction("""COMPUTED_VALUE"""),1924)</f>
        <v>1924</v>
      </c>
    </row>
    <row r="3" customFormat="false" ht="18.75" hidden="false" customHeight="true" outlineLevel="0" collapsed="false">
      <c r="A3" s="8" t="n">
        <v>2</v>
      </c>
      <c r="B3" s="5"/>
      <c r="C3" s="5" t="str">
        <f aca="false">IFERROR(__xludf.dummyfunction("""COMPUTED_VALUE"""),"Airbus")</f>
        <v>Airbus</v>
      </c>
      <c r="D3" s="5" t="str">
        <f aca="false">IFERROR(__xludf.dummyfunction("""COMPUTED_VALUE"""),"Aerospace")</f>
        <v>Aerospace</v>
      </c>
      <c r="E3" s="9" t="str">
        <f aca="false">IFERROR(__xludf.dummyfunction("""COMPUTED_VALUE"""),"AIR.DE")</f>
        <v>AIR.DE</v>
      </c>
      <c r="F3" s="10" t="n">
        <f aca="false">IFERROR(__xludf.dummyfunction("""COMPUTED_VALUE"""),4.8)</f>
        <v>4.8</v>
      </c>
      <c r="G3" s="5" t="str">
        <f aca="false">IFERROR(__xludf.dummyfunction("""COMPUTED_VALUE"""),"126.495 (2021)")</f>
        <v>126.495 (2021)</v>
      </c>
      <c r="H3" s="8" t="n">
        <f aca="false">IFERROR(__xludf.dummyfunction("""COMPUTED_VALUE"""),1970)</f>
        <v>1970</v>
      </c>
    </row>
    <row r="4" customFormat="false" ht="18.75" hidden="false" customHeight="true" outlineLevel="0" collapsed="false">
      <c r="A4" s="8" t="n">
        <v>3</v>
      </c>
      <c r="B4" s="5"/>
      <c r="C4" s="5" t="str">
        <f aca="false">IFERROR(__xludf.dummyfunction("""COMPUTED_VALUE"""),"Allianz")</f>
        <v>Allianz</v>
      </c>
      <c r="D4" s="5" t="str">
        <f aca="false">IFERROR(__xludf.dummyfunction("""COMPUTED_VALUE"""),"Financial Services")</f>
        <v>Financial Services</v>
      </c>
      <c r="E4" s="9" t="str">
        <f aca="false">IFERROR(__xludf.dummyfunction("""COMPUTED_VALUE"""),"ALV.DE")</f>
        <v>ALV.DE</v>
      </c>
      <c r="F4" s="10" t="n">
        <f aca="false">IFERROR(__xludf.dummyfunction("""COMPUTED_VALUE"""),6.8)</f>
        <v>6.8</v>
      </c>
      <c r="G4" s="5" t="str">
        <f aca="false">IFERROR(__xludf.dummyfunction("""COMPUTED_VALUE"""),"155,411 (2021)")</f>
        <v>155,411 (2021)</v>
      </c>
      <c r="H4" s="8" t="n">
        <f aca="false">IFERROR(__xludf.dummyfunction("""COMPUTED_VALUE"""),1890)</f>
        <v>1890</v>
      </c>
    </row>
    <row r="5" customFormat="false" ht="18.75" hidden="false" customHeight="true" outlineLevel="0" collapsed="false">
      <c r="A5" s="8" t="n">
        <v>4</v>
      </c>
      <c r="B5" s="5"/>
      <c r="C5" s="5" t="str">
        <f aca="false">IFERROR(__xludf.dummyfunction("""COMPUTED_VALUE"""),"BASF")</f>
        <v>BASF</v>
      </c>
      <c r="D5" s="5" t="str">
        <f aca="false">IFERROR(__xludf.dummyfunction("""COMPUTED_VALUE"""),"Basic Materials")</f>
        <v>Basic Materials</v>
      </c>
      <c r="E5" s="9" t="str">
        <f aca="false">IFERROR(__xludf.dummyfunction("""COMPUTED_VALUE"""),"BAS.DE")</f>
        <v>BAS.DE</v>
      </c>
      <c r="F5" s="10" t="n">
        <f aca="false">IFERROR(__xludf.dummyfunction("""COMPUTED_VALUE"""),3.8)</f>
        <v>3.8</v>
      </c>
      <c r="G5" s="5" t="str">
        <f aca="false">IFERROR(__xludf.dummyfunction("""COMPUTED_VALUE"""),"111,047 (2021)")</f>
        <v>111,047 (2021)</v>
      </c>
      <c r="H5" s="8" t="n">
        <f aca="false">IFERROR(__xludf.dummyfunction("""COMPUTED_VALUE"""),1865)</f>
        <v>1865</v>
      </c>
    </row>
    <row r="6" customFormat="false" ht="18.75" hidden="false" customHeight="true" outlineLevel="0" collapsed="false">
      <c r="A6" s="8" t="n">
        <v>5</v>
      </c>
      <c r="B6" s="5"/>
      <c r="C6" s="5" t="str">
        <f aca="false">IFERROR(__xludf.dummyfunction("""COMPUTED_VALUE"""),"Bayer")</f>
        <v>Bayer</v>
      </c>
      <c r="D6" s="5" t="str">
        <f aca="false">IFERROR(__xludf.dummyfunction("""COMPUTED_VALUE"""),"Healthcare")</f>
        <v>Healthcare</v>
      </c>
      <c r="E6" s="9" t="str">
        <f aca="false">IFERROR(__xludf.dummyfunction("""COMPUTED_VALUE"""),"BAYN.DE")</f>
        <v>BAYN.DE</v>
      </c>
      <c r="F6" s="10" t="n">
        <f aca="false">IFERROR(__xludf.dummyfunction("""COMPUTED_VALUE"""),5.5)</f>
        <v>5.5</v>
      </c>
      <c r="G6" s="5" t="str">
        <f aca="false">IFERROR(__xludf.dummyfunction("""COMPUTED_VALUE"""),"099,637 (2021)")</f>
        <v>099,637 (2021)</v>
      </c>
      <c r="H6" s="8" t="n">
        <f aca="false">IFERROR(__xludf.dummyfunction("""COMPUTED_VALUE"""),1863)</f>
        <v>1863</v>
      </c>
    </row>
    <row r="7" customFormat="false" ht="18.75" hidden="false" customHeight="true" outlineLevel="0" collapsed="false">
      <c r="A7" s="8" t="n">
        <v>6</v>
      </c>
      <c r="B7" s="5"/>
      <c r="C7" s="5" t="str">
        <f aca="false">IFERROR(__xludf.dummyfunction("""COMPUTED_VALUE"""),"Beiersdorf")</f>
        <v>Beiersdorf</v>
      </c>
      <c r="D7" s="5" t="str">
        <f aca="false">IFERROR(__xludf.dummyfunction("""COMPUTED_VALUE"""),"Consumer goods")</f>
        <v>Consumer goods</v>
      </c>
      <c r="E7" s="9" t="str">
        <f aca="false">IFERROR(__xludf.dummyfunction("""COMPUTED_VALUE"""),"BEI.DE")</f>
        <v>BEI.DE</v>
      </c>
      <c r="F7" s="6"/>
      <c r="G7" s="5" t="str">
        <f aca="false">IFERROR(__xludf.dummyfunction("""COMPUTED_VALUE"""),"020,567 (2021)")</f>
        <v>020,567 (2021)</v>
      </c>
      <c r="H7" s="8" t="n">
        <f aca="false">IFERROR(__xludf.dummyfunction("""COMPUTED_VALUE"""),1882)</f>
        <v>1882</v>
      </c>
    </row>
    <row r="8" customFormat="false" ht="18.75" hidden="false" customHeight="true" outlineLevel="0" collapsed="false">
      <c r="A8" s="8" t="n">
        <v>7</v>
      </c>
      <c r="B8" s="5"/>
      <c r="C8" s="5" t="str">
        <f aca="false">IFERROR(__xludf.dummyfunction("""COMPUTED_VALUE"""),"BMW")</f>
        <v>BMW</v>
      </c>
      <c r="D8" s="5" t="str">
        <f aca="false">IFERROR(__xludf.dummyfunction("""COMPUTED_VALUE"""),"Automobile")</f>
        <v>Automobile</v>
      </c>
      <c r="E8" s="9" t="str">
        <f aca="false">IFERROR(__xludf.dummyfunction("""COMPUTED_VALUE"""),"BMW.DE")</f>
        <v>BMW.DE</v>
      </c>
      <c r="F8" s="10" t="n">
        <f aca="false">IFERROR(__xludf.dummyfunction("""COMPUTED_VALUE"""),2.3)</f>
        <v>2.3</v>
      </c>
      <c r="G8" s="5" t="str">
        <f aca="false">IFERROR(__xludf.dummyfunction("""COMPUTED_VALUE"""),"118,909 (2021)")</f>
        <v>118,909 (2021)</v>
      </c>
      <c r="H8" s="8" t="n">
        <f aca="false">IFERROR(__xludf.dummyfunction("""COMPUTED_VALUE"""),1916)</f>
        <v>1916</v>
      </c>
    </row>
    <row r="9" customFormat="false" ht="18.75" hidden="false" customHeight="true" outlineLevel="0" collapsed="false">
      <c r="A9" s="8" t="n">
        <v>8</v>
      </c>
      <c r="B9" s="5"/>
      <c r="C9" s="5" t="str">
        <f aca="false">IFERROR(__xludf.dummyfunction("""COMPUTED_VALUE"""),"Brenntag")</f>
        <v>Brenntag</v>
      </c>
      <c r="D9" s="5" t="str">
        <f aca="false">IFERROR(__xludf.dummyfunction("""COMPUTED_VALUE"""),"Distribution")</f>
        <v>Distribution</v>
      </c>
      <c r="E9" s="9" t="str">
        <f aca="false">IFERROR(__xludf.dummyfunction("""COMPUTED_VALUE"""),"BNR.DE")</f>
        <v>BNR.DE</v>
      </c>
      <c r="F9" s="10" t="n">
        <f aca="false">IFERROR(__xludf.dummyfunction("""COMPUTED_VALUE"""),0.9)</f>
        <v>0.9</v>
      </c>
      <c r="G9" s="5" t="str">
        <f aca="false">IFERROR(__xludf.dummyfunction("""COMPUTED_VALUE"""),"017,200 (2021)")</f>
        <v>017,200 (2021)</v>
      </c>
      <c r="H9" s="8" t="n">
        <f aca="false">IFERROR(__xludf.dummyfunction("""COMPUTED_VALUE"""),1874)</f>
        <v>1874</v>
      </c>
    </row>
    <row r="10" customFormat="false" ht="18.75" hidden="false" customHeight="true" outlineLevel="0" collapsed="false">
      <c r="A10" s="8" t="n">
        <v>9</v>
      </c>
      <c r="B10" s="5"/>
      <c r="C10" s="5" t="str">
        <f aca="false">IFERROR(__xludf.dummyfunction("""COMPUTED_VALUE"""),"Continental")</f>
        <v>Continental</v>
      </c>
      <c r="D10" s="5" t="str">
        <f aca="false">IFERROR(__xludf.dummyfunction("""COMPUTED_VALUE"""),"Automotive")</f>
        <v>Automotive</v>
      </c>
      <c r="E10" s="9" t="str">
        <f aca="false">IFERROR(__xludf.dummyfunction("""COMPUTED_VALUE"""),"CON.DE")</f>
        <v>CON.DE</v>
      </c>
      <c r="F10" s="10" t="n">
        <f aca="false">IFERROR(__xludf.dummyfunction("""COMPUTED_VALUE"""),0.7)</f>
        <v>0.7</v>
      </c>
      <c r="G10" s="5" t="str">
        <f aca="false">IFERROR(__xludf.dummyfunction("""COMPUTED_VALUE"""),"236,386 (2020)")</f>
        <v>236,386 (2020)</v>
      </c>
      <c r="H10" s="8" t="n">
        <f aca="false">IFERROR(__xludf.dummyfunction("""COMPUTED_VALUE"""),1871)</f>
        <v>1871</v>
      </c>
    </row>
    <row r="11" customFormat="false" ht="18.75" hidden="false" customHeight="true" outlineLevel="0" collapsed="false">
      <c r="A11" s="8" t="n">
        <v>10</v>
      </c>
      <c r="B11" s="5"/>
      <c r="C11" s="5" t="str">
        <f aca="false">IFERROR(__xludf.dummyfunction("""COMPUTED_VALUE"""),"Covestro")</f>
        <v>Covestro</v>
      </c>
      <c r="D11" s="5" t="str">
        <f aca="false">IFERROR(__xludf.dummyfunction("""COMPUTED_VALUE"""),"Basic Materials")</f>
        <v>Basic Materials</v>
      </c>
      <c r="E11" s="9" t="str">
        <f aca="false">IFERROR(__xludf.dummyfunction("""COMPUTED_VALUE"""),"1COV.DE")</f>
        <v>1COV.DE</v>
      </c>
      <c r="F11" s="10" t="n">
        <f aca="false">IFERROR(__xludf.dummyfunction("""COMPUTED_VALUE"""),0.6)</f>
        <v>0.6</v>
      </c>
      <c r="G11" s="5" t="str">
        <f aca="false">IFERROR(__xludf.dummyfunction("""COMPUTED_VALUE"""),"017,909 (2021)")</f>
        <v>017,909 (2021)</v>
      </c>
      <c r="H11" s="8" t="n">
        <f aca="false">IFERROR(__xludf.dummyfunction("""COMPUTED_VALUE"""),2015)</f>
        <v>2015</v>
      </c>
    </row>
    <row r="12" customFormat="false" ht="18.75" hidden="false" customHeight="true" outlineLevel="0" collapsed="false">
      <c r="A12" s="8" t="n">
        <v>11</v>
      </c>
      <c r="B12" s="5"/>
      <c r="C12" s="5" t="str">
        <f aca="false">IFERROR(__xludf.dummyfunction("""COMPUTED_VALUE"""),"Daimler Truck")</f>
        <v>Daimler Truck</v>
      </c>
      <c r="D12" s="5" t="str">
        <f aca="false">IFERROR(__xludf.dummyfunction("""COMPUTED_VALUE"""),"Automobile")</f>
        <v>Automobile</v>
      </c>
      <c r="E12" s="9" t="str">
        <f aca="false">IFERROR(__xludf.dummyfunction("""COMPUTED_VALUE"""),"DTG.DE")</f>
        <v>DTG.DE</v>
      </c>
      <c r="F12" s="10" t="n">
        <f aca="false">IFERROR(__xludf.dummyfunction("""COMPUTED_VALUE"""),1.1)</f>
        <v>1.1</v>
      </c>
      <c r="G12" s="5" t="str">
        <f aca="false">IFERROR(__xludf.dummyfunction("""COMPUTED_VALUE"""),"099,640 (2020)")</f>
        <v>099,640 (2020)</v>
      </c>
      <c r="H12" s="8" t="n">
        <f aca="false">IFERROR(__xludf.dummyfunction("""COMPUTED_VALUE"""),2021)</f>
        <v>2021</v>
      </c>
    </row>
    <row r="13" customFormat="false" ht="18.75" hidden="false" customHeight="true" outlineLevel="0" collapsed="false">
      <c r="A13" s="8" t="n">
        <v>12</v>
      </c>
      <c r="B13" s="5"/>
      <c r="C13" s="5" t="str">
        <f aca="false">IFERROR(__xludf.dummyfunction("""COMPUTED_VALUE"""),"Deutsche Bank")</f>
        <v>Deutsche Bank</v>
      </c>
      <c r="D13" s="5" t="str">
        <f aca="false">IFERROR(__xludf.dummyfunction("""COMPUTED_VALUE"""),"Financial Services")</f>
        <v>Financial Services</v>
      </c>
      <c r="E13" s="9" t="str">
        <f aca="false">IFERROR(__xludf.dummyfunction("""COMPUTED_VALUE"""),"DBK.DE")</f>
        <v>DBK.DE</v>
      </c>
      <c r="F13" s="10" t="n">
        <f aca="false">IFERROR(__xludf.dummyfunction("""COMPUTED_VALUE"""),1.7)</f>
        <v>1.7</v>
      </c>
      <c r="G13" s="5" t="str">
        <f aca="false">IFERROR(__xludf.dummyfunction("""COMPUTED_VALUE"""),"084,659 (2020)")</f>
        <v>084,659 (2020)</v>
      </c>
      <c r="H13" s="8" t="n">
        <f aca="false">IFERROR(__xludf.dummyfunction("""COMPUTED_VALUE"""),1870)</f>
        <v>1870</v>
      </c>
    </row>
    <row r="14" customFormat="false" ht="18.75" hidden="false" customHeight="true" outlineLevel="0" collapsed="false">
      <c r="A14" s="8" t="n">
        <v>13</v>
      </c>
      <c r="B14" s="5"/>
      <c r="C14" s="5" t="str">
        <f aca="false">IFERROR(__xludf.dummyfunction("""COMPUTED_VALUE"""),"Deutsche Börse")</f>
        <v>Deutsche Börse</v>
      </c>
      <c r="D14" s="5" t="str">
        <f aca="false">IFERROR(__xludf.dummyfunction("""COMPUTED_VALUE"""),"Financial Services")</f>
        <v>Financial Services</v>
      </c>
      <c r="E14" s="9" t="str">
        <f aca="false">IFERROR(__xludf.dummyfunction("""COMPUTED_VALUE"""),"DB1.DE")</f>
        <v>DB1.DE</v>
      </c>
      <c r="F14" s="10" t="n">
        <f aca="false">IFERROR(__xludf.dummyfunction("""COMPUTED_VALUE"""),2.5)</f>
        <v>2.5</v>
      </c>
      <c r="G14" s="5" t="str">
        <f aca="false">IFERROR(__xludf.dummyfunction("""COMPUTED_VALUE"""),"007,238 (2020)")</f>
        <v>007,238 (2020)</v>
      </c>
      <c r="H14" s="8" t="n">
        <f aca="false">IFERROR(__xludf.dummyfunction("""COMPUTED_VALUE"""),1992)</f>
        <v>1992</v>
      </c>
    </row>
    <row r="15" customFormat="false" ht="18.75" hidden="false" customHeight="true" outlineLevel="0" collapsed="false">
      <c r="A15" s="8" t="n">
        <v>14</v>
      </c>
      <c r="B15" s="5"/>
      <c r="C15" s="5" t="str">
        <f aca="false">IFERROR(__xludf.dummyfunction("""COMPUTED_VALUE"""),"Deutsche Post")</f>
        <v>Deutsche Post</v>
      </c>
      <c r="D15" s="5" t="str">
        <f aca="false">IFERROR(__xludf.dummyfunction("""COMPUTED_VALUE"""),"Industrials")</f>
        <v>Industrials</v>
      </c>
      <c r="E15" s="9" t="str">
        <f aca="false">IFERROR(__xludf.dummyfunction("""COMPUTED_VALUE"""),"DPW.DE")</f>
        <v>DPW.DE</v>
      </c>
      <c r="F15" s="10" t="n">
        <f aca="false">IFERROR(__xludf.dummyfunction("""COMPUTED_VALUE"""),3.1)</f>
        <v>3.1</v>
      </c>
      <c r="G15" s="5" t="str">
        <f aca="false">IFERROR(__xludf.dummyfunction("""COMPUTED_VALUE"""),"592,263 (2021)")</f>
        <v>592,263 (2021)</v>
      </c>
      <c r="H15" s="8" t="n">
        <f aca="false">IFERROR(__xludf.dummyfunction("""COMPUTED_VALUE"""),1995)</f>
        <v>1995</v>
      </c>
    </row>
    <row r="16" customFormat="false" ht="18.75" hidden="false" customHeight="true" outlineLevel="0" collapsed="false">
      <c r="A16" s="8" t="n">
        <v>15</v>
      </c>
      <c r="B16" s="5"/>
      <c r="C16" s="5" t="str">
        <f aca="false">IFERROR(__xludf.dummyfunction("""COMPUTED_VALUE"""),"Deutsche Telekom")</f>
        <v>Deutsche Telekom</v>
      </c>
      <c r="D16" s="5" t="str">
        <f aca="false">IFERROR(__xludf.dummyfunction("""COMPUTED_VALUE"""),"Communication Services")</f>
        <v>Communication Services</v>
      </c>
      <c r="E16" s="9" t="str">
        <f aca="false">IFERROR(__xludf.dummyfunction("""COMPUTED_VALUE"""),"DTE.DE")</f>
        <v>DTE.DE</v>
      </c>
      <c r="F16" s="10" t="n">
        <f aca="false">IFERROR(__xludf.dummyfunction("""COMPUTED_VALUE"""),5.6)</f>
        <v>5.6</v>
      </c>
      <c r="G16" s="5" t="str">
        <f aca="false">IFERROR(__xludf.dummyfunction("""COMPUTED_VALUE"""),"216,528 (2021)")</f>
        <v>216,528 (2021)</v>
      </c>
      <c r="H16" s="8" t="n">
        <f aca="false">IFERROR(__xludf.dummyfunction("""COMPUTED_VALUE"""),1995)</f>
        <v>1995</v>
      </c>
    </row>
    <row r="17" customFormat="false" ht="18.75" hidden="false" customHeight="true" outlineLevel="0" collapsed="false">
      <c r="A17" s="8" t="n">
        <v>16</v>
      </c>
      <c r="B17" s="5"/>
      <c r="C17" s="5" t="str">
        <f aca="false">IFERROR(__xludf.dummyfunction("""COMPUTED_VALUE"""),"E.ON")</f>
        <v>E.ON</v>
      </c>
      <c r="D17" s="5" t="str">
        <f aca="false">IFERROR(__xludf.dummyfunction("""COMPUTED_VALUE"""),"Utilities")</f>
        <v>Utilities</v>
      </c>
      <c r="E17" s="9" t="str">
        <f aca="false">IFERROR(__xludf.dummyfunction("""COMPUTED_VALUE"""),"EOAN.DE")</f>
        <v>EOAN.DE</v>
      </c>
      <c r="F17" s="10" t="n">
        <f aca="false">IFERROR(__xludf.dummyfunction("""COMPUTED_VALUE"""),1.7)</f>
        <v>1.7</v>
      </c>
      <c r="G17" s="5" t="str">
        <f aca="false">IFERROR(__xludf.dummyfunction("""COMPUTED_VALUE"""),"078,126 (2021)")</f>
        <v>078,126 (2021)</v>
      </c>
      <c r="H17" s="8" t="n">
        <f aca="false">IFERROR(__xludf.dummyfunction("""COMPUTED_VALUE"""),2000)</f>
        <v>2000</v>
      </c>
    </row>
    <row r="18" customFormat="false" ht="18.75" hidden="false" customHeight="true" outlineLevel="0" collapsed="false">
      <c r="A18" s="8" t="n">
        <v>17</v>
      </c>
      <c r="B18" s="5"/>
      <c r="C18" s="5" t="str">
        <f aca="false">IFERROR(__xludf.dummyfunction("""COMPUTED_VALUE"""),"Fresenius")</f>
        <v>Fresenius</v>
      </c>
      <c r="D18" s="5" t="str">
        <f aca="false">IFERROR(__xludf.dummyfunction("""COMPUTED_VALUE"""),"Healthcare")</f>
        <v>Healthcare</v>
      </c>
      <c r="E18" s="9" t="str">
        <f aca="false">IFERROR(__xludf.dummyfunction("""COMPUTED_VALUE"""),"FRE.DE")</f>
        <v>FRE.DE</v>
      </c>
      <c r="F18" s="10" t="n">
        <f aca="false">IFERROR(__xludf.dummyfunction("""COMPUTED_VALUE"""),1.1)</f>
        <v>1.1</v>
      </c>
      <c r="G18" s="5" t="str">
        <f aca="false">IFERROR(__xludf.dummyfunction("""COMPUTED_VALUE"""),"311,269 (2020)")</f>
        <v>311,269 (2020)</v>
      </c>
      <c r="H18" s="8" t="n">
        <f aca="false">IFERROR(__xludf.dummyfunction("""COMPUTED_VALUE"""),1912)</f>
        <v>1912</v>
      </c>
    </row>
    <row r="19" customFormat="false" ht="18.75" hidden="false" customHeight="true" outlineLevel="0" collapsed="false">
      <c r="A19" s="8" t="n">
        <v>18</v>
      </c>
      <c r="B19" s="5"/>
      <c r="C19" s="5" t="str">
        <f aca="false">IFERROR(__xludf.dummyfunction("""COMPUTED_VALUE"""),"Fresenius Medical Care")</f>
        <v>Fresenius Medical Care</v>
      </c>
      <c r="D19" s="5" t="str">
        <f aca="false">IFERROR(__xludf.dummyfunction("""COMPUTED_VALUE"""),"Healthcare")</f>
        <v>Healthcare</v>
      </c>
      <c r="E19" s="9" t="str">
        <f aca="false">IFERROR(__xludf.dummyfunction("""COMPUTED_VALUE"""),"FME.DE")</f>
        <v>FME.DE</v>
      </c>
      <c r="F19" s="10" t="n">
        <f aca="false">IFERROR(__xludf.dummyfunction("""COMPUTED_VALUE"""),0.9)</f>
        <v>0.9</v>
      </c>
      <c r="G19" s="5" t="str">
        <f aca="false">IFERROR(__xludf.dummyfunction("""COMPUTED_VALUE"""),"125,364 (2020)")</f>
        <v>125,364 (2020)</v>
      </c>
      <c r="H19" s="8" t="n">
        <f aca="false">IFERROR(__xludf.dummyfunction("""COMPUTED_VALUE"""),1996)</f>
        <v>1996</v>
      </c>
    </row>
    <row r="20" customFormat="false" ht="18.75" hidden="false" customHeight="true" outlineLevel="0" collapsed="false">
      <c r="A20" s="8" t="n">
        <v>19</v>
      </c>
      <c r="B20" s="5"/>
      <c r="C20" s="5" t="str">
        <f aca="false">IFERROR(__xludf.dummyfunction("""COMPUTED_VALUE"""),"Hannover Re")</f>
        <v>Hannover Re</v>
      </c>
      <c r="D20" s="5" t="str">
        <f aca="false">IFERROR(__xludf.dummyfunction("""COMPUTED_VALUE"""),"Insurance")</f>
        <v>Insurance</v>
      </c>
      <c r="E20" s="9" t="str">
        <f aca="false">IFERROR(__xludf.dummyfunction("""COMPUTED_VALUE"""),"HNR1.DE")</f>
        <v>HNR1.DE</v>
      </c>
      <c r="F20" s="10" t="n">
        <f aca="false">IFERROR(__xludf.dummyfunction("""COMPUTED_VALUE"""),0.7)</f>
        <v>0.7</v>
      </c>
      <c r="G20" s="5" t="str">
        <f aca="false">IFERROR(__xludf.dummyfunction("""COMPUTED_VALUE"""),"003,218 (2020)")</f>
        <v>003,218 (2020)</v>
      </c>
      <c r="H20" s="8" t="n">
        <f aca="false">IFERROR(__xludf.dummyfunction("""COMPUTED_VALUE"""),1966)</f>
        <v>1966</v>
      </c>
    </row>
    <row r="21" customFormat="false" ht="18.75" hidden="false" customHeight="true" outlineLevel="0" collapsed="false">
      <c r="A21" s="8" t="n">
        <v>20</v>
      </c>
      <c r="B21" s="5"/>
      <c r="C21" s="5" t="str">
        <f aca="false">IFERROR(__xludf.dummyfunction("""COMPUTED_VALUE"""),"HeidelbergCement")</f>
        <v>HeidelbergCement</v>
      </c>
      <c r="D21" s="5" t="str">
        <f aca="false">IFERROR(__xludf.dummyfunction("""COMPUTED_VALUE"""),"Basic Materials")</f>
        <v>Basic Materials</v>
      </c>
      <c r="E21" s="9" t="str">
        <f aca="false">IFERROR(__xludf.dummyfunction("""COMPUTED_VALUE"""),"HEI.DE")</f>
        <v>HEI.DE</v>
      </c>
      <c r="F21" s="10" t="n">
        <f aca="false">IFERROR(__xludf.dummyfunction("""COMPUTED_VALUE"""),0.7)</f>
        <v>0.7</v>
      </c>
      <c r="G21" s="5" t="str">
        <f aca="false">IFERROR(__xludf.dummyfunction("""COMPUTED_VALUE"""),"053,122 (2020)")</f>
        <v>053,122 (2020)</v>
      </c>
      <c r="H21" s="8" t="n">
        <f aca="false">IFERROR(__xludf.dummyfunction("""COMPUTED_VALUE"""),1874)</f>
        <v>1874</v>
      </c>
    </row>
    <row r="22" customFormat="false" ht="18.75" hidden="false" customHeight="true" outlineLevel="0" collapsed="false">
      <c r="A22" s="8" t="n">
        <v>21</v>
      </c>
      <c r="B22" s="5"/>
      <c r="C22" s="5" t="str">
        <f aca="false">IFERROR(__xludf.dummyfunction("""COMPUTED_VALUE"""),"HelloFresh")</f>
        <v>HelloFresh</v>
      </c>
      <c r="D22" s="5" t="str">
        <f aca="false">IFERROR(__xludf.dummyfunction("""COMPUTED_VALUE"""),"Online Food Ordering")</f>
        <v>Online Food Ordering</v>
      </c>
      <c r="E22" s="9" t="str">
        <f aca="false">IFERROR(__xludf.dummyfunction("""COMPUTED_VALUE"""),"HFG.DE")</f>
        <v>HFG.DE</v>
      </c>
      <c r="F22" s="10" t="n">
        <f aca="false">IFERROR(__xludf.dummyfunction("""COMPUTED_VALUE"""),0.4)</f>
        <v>0.4</v>
      </c>
      <c r="G22" s="5" t="str">
        <f aca="false">IFERROR(__xludf.dummyfunction("""COMPUTED_VALUE"""),"014,635 (2021)")</f>
        <v>014,635 (2021)</v>
      </c>
      <c r="H22" s="8" t="n">
        <f aca="false">IFERROR(__xludf.dummyfunction("""COMPUTED_VALUE"""),2011)</f>
        <v>2011</v>
      </c>
    </row>
    <row r="23" customFormat="false" ht="18.75" hidden="false" customHeight="true" outlineLevel="0" collapsed="false">
      <c r="A23" s="8" t="n">
        <v>22</v>
      </c>
      <c r="B23" s="5"/>
      <c r="C23" s="5" t="str">
        <f aca="false">IFERROR(__xludf.dummyfunction("""COMPUTED_VALUE"""),"Henkel")</f>
        <v>Henkel</v>
      </c>
      <c r="D23" s="5" t="str">
        <f aca="false">IFERROR(__xludf.dummyfunction("""COMPUTED_VALUE"""),"Consumer Goods")</f>
        <v>Consumer Goods</v>
      </c>
      <c r="E23" s="9" t="str">
        <f aca="false">IFERROR(__xludf.dummyfunction("""COMPUTED_VALUE"""),"HEN3.DE")</f>
        <v>HEN3.DE</v>
      </c>
      <c r="F23" s="10" t="n">
        <f aca="false">IFERROR(__xludf.dummyfunction("""COMPUTED_VALUE"""),0.9)</f>
        <v>0.9</v>
      </c>
      <c r="G23" s="5" t="str">
        <f aca="false">IFERROR(__xludf.dummyfunction("""COMPUTED_VALUE"""),"052,450 (2021)")</f>
        <v>052,450 (2021)</v>
      </c>
      <c r="H23" s="8" t="n">
        <f aca="false">IFERROR(__xludf.dummyfunction("""COMPUTED_VALUE"""),1876)</f>
        <v>1876</v>
      </c>
    </row>
    <row r="24" customFormat="false" ht="18.75" hidden="false" customHeight="true" outlineLevel="0" collapsed="false">
      <c r="A24" s="8" t="n">
        <v>23</v>
      </c>
      <c r="B24" s="5"/>
      <c r="C24" s="5" t="str">
        <f aca="false">IFERROR(__xludf.dummyfunction("""COMPUTED_VALUE"""),"Infineon Technologies")</f>
        <v>Infineon Technologies</v>
      </c>
      <c r="D24" s="5" t="str">
        <f aca="false">IFERROR(__xludf.dummyfunction("""COMPUTED_VALUE"""),"Technology")</f>
        <v>Technology</v>
      </c>
      <c r="E24" s="9" t="str">
        <f aca="false">IFERROR(__xludf.dummyfunction("""COMPUTED_VALUE"""),"IFX.DE")</f>
        <v>IFX.DE</v>
      </c>
      <c r="F24" s="10" t="n">
        <f aca="false">IFERROR(__xludf.dummyfunction("""COMPUTED_VALUE"""),2.7)</f>
        <v>2.7</v>
      </c>
      <c r="G24" s="5" t="str">
        <f aca="false">IFERROR(__xludf.dummyfunction("""COMPUTED_VALUE"""),"050,280 (2018)")</f>
        <v>050,280 (2018)</v>
      </c>
      <c r="H24" s="8" t="n">
        <f aca="false">IFERROR(__xludf.dummyfunction("""COMPUTED_VALUE"""),1999)</f>
        <v>1999</v>
      </c>
    </row>
    <row r="25" customFormat="false" ht="18.75" hidden="false" customHeight="true" outlineLevel="0" collapsed="false">
      <c r="A25" s="8" t="n">
        <v>24</v>
      </c>
      <c r="B25" s="5"/>
      <c r="C25" s="5" t="str">
        <f aca="false">IFERROR(__xludf.dummyfunction("""COMPUTED_VALUE"""),"Linde")</f>
        <v>Linde</v>
      </c>
      <c r="D25" s="5" t="str">
        <f aca="false">IFERROR(__xludf.dummyfunction("""COMPUTED_VALUE"""),"Basic Materials")</f>
        <v>Basic Materials</v>
      </c>
      <c r="E25" s="9" t="str">
        <f aca="false">IFERROR(__xludf.dummyfunction("""COMPUTED_VALUE"""),"LIN.DE")</f>
        <v>LIN.DE</v>
      </c>
      <c r="F25" s="10" t="n">
        <f aca="false">IFERROR(__xludf.dummyfunction("""COMPUTED_VALUE"""),10.8)</f>
        <v>10.8</v>
      </c>
      <c r="G25" s="5" t="str">
        <f aca="false">IFERROR(__xludf.dummyfunction("""COMPUTED_VALUE"""),"074,207 (2020)")</f>
        <v>074,207 (2020)</v>
      </c>
      <c r="H25" s="8" t="n">
        <f aca="false">IFERROR(__xludf.dummyfunction("""COMPUTED_VALUE"""),1879)</f>
        <v>1879</v>
      </c>
    </row>
    <row r="26" customFormat="false" ht="18.75" hidden="false" customHeight="true" outlineLevel="0" collapsed="false">
      <c r="A26" s="8" t="n">
        <v>25</v>
      </c>
      <c r="B26" s="5"/>
      <c r="C26" s="5" t="str">
        <f aca="false">IFERROR(__xludf.dummyfunction("""COMPUTED_VALUE"""),"Mercedes-Benz Group")</f>
        <v>Mercedes-Benz Group</v>
      </c>
      <c r="D26" s="5" t="str">
        <f aca="false">IFERROR(__xludf.dummyfunction("""COMPUTED_VALUE"""),"Automobile")</f>
        <v>Automobile</v>
      </c>
      <c r="E26" s="9" t="str">
        <f aca="false">IFERROR(__xludf.dummyfunction("""COMPUTED_VALUE"""),"MBG.DE")</f>
        <v>MBG.DE</v>
      </c>
      <c r="F26" s="10" t="n">
        <f aca="false">IFERROR(__xludf.dummyfunction("""COMPUTED_VALUE"""),4.9)</f>
        <v>4.9</v>
      </c>
      <c r="G26" s="5" t="str">
        <f aca="false">IFERROR(__xludf.dummyfunction("""COMPUTED_VALUE"""),"172,000 (2021)")</f>
        <v>172,000 (2021)</v>
      </c>
      <c r="H26" s="8" t="n">
        <f aca="false">IFERROR(__xludf.dummyfunction("""COMPUTED_VALUE"""),1926)</f>
        <v>1926</v>
      </c>
    </row>
    <row r="27" customFormat="false" ht="18.75" hidden="false" customHeight="true" outlineLevel="0" collapsed="false">
      <c r="A27" s="8" t="n">
        <v>26</v>
      </c>
      <c r="B27" s="5"/>
      <c r="C27" s="5" t="str">
        <f aca="false">IFERROR(__xludf.dummyfunction("""COMPUTED_VALUE"""),"Merck")</f>
        <v>Merck</v>
      </c>
      <c r="D27" s="5" t="str">
        <f aca="false">IFERROR(__xludf.dummyfunction("""COMPUTED_VALUE"""),"Healthcare")</f>
        <v>Healthcare</v>
      </c>
      <c r="E27" s="9" t="str">
        <f aca="false">IFERROR(__xludf.dummyfunction("""COMPUTED_VALUE"""),"MRK.DE")</f>
        <v>MRK.DE</v>
      </c>
      <c r="F27" s="10" t="n">
        <f aca="false">IFERROR(__xludf.dummyfunction("""COMPUTED_VALUE"""),1.8)</f>
        <v>1.8</v>
      </c>
      <c r="G27" s="5" t="str">
        <f aca="false">IFERROR(__xludf.dummyfunction("""COMPUTED_VALUE"""),"008,081 (2021)")</f>
        <v>008,081 (2021)</v>
      </c>
      <c r="H27" s="8" t="n">
        <f aca="false">IFERROR(__xludf.dummyfunction("""COMPUTED_VALUE"""),1668)</f>
        <v>1668</v>
      </c>
    </row>
    <row r="28" customFormat="false" ht="18.75" hidden="false" customHeight="true" outlineLevel="0" collapsed="false">
      <c r="A28" s="8" t="n">
        <v>27</v>
      </c>
      <c r="B28" s="5"/>
      <c r="C28" s="5" t="str">
        <f aca="false">IFERROR(__xludf.dummyfunction("""COMPUTED_VALUE"""),"MTU Aero Engines")</f>
        <v>MTU Aero Engines</v>
      </c>
      <c r="D28" s="5" t="str">
        <f aca="false">IFERROR(__xludf.dummyfunction("""COMPUTED_VALUE"""),"Industrials")</f>
        <v>Industrials</v>
      </c>
      <c r="E28" s="9" t="str">
        <f aca="false">IFERROR(__xludf.dummyfunction("""COMPUTED_VALUE"""),"MTX.DE")</f>
        <v>MTX.DE</v>
      </c>
      <c r="F28" s="10" t="n">
        <f aca="false">IFERROR(__xludf.dummyfunction("""COMPUTED_VALUE"""),0.8)</f>
        <v>0.8</v>
      </c>
      <c r="G28" s="5" t="str">
        <f aca="false">IFERROR(__xludf.dummyfunction("""COMPUTED_VALUE"""),"010,313 (2020)")</f>
        <v>010,313 (2020)</v>
      </c>
      <c r="H28" s="8" t="n">
        <f aca="false">IFERROR(__xludf.dummyfunction("""COMPUTED_VALUE"""),1934)</f>
        <v>1934</v>
      </c>
    </row>
    <row r="29" customFormat="false" ht="18.75" hidden="false" customHeight="true" outlineLevel="0" collapsed="false">
      <c r="A29" s="8" t="n">
        <v>28</v>
      </c>
      <c r="B29" s="5"/>
      <c r="C29" s="5" t="str">
        <f aca="false">IFERROR(__xludf.dummyfunction("""COMPUTED_VALUE"""),"Munich Re")</f>
        <v>Munich Re</v>
      </c>
      <c r="D29" s="5" t="str">
        <f aca="false">IFERROR(__xludf.dummyfunction("""COMPUTED_VALUE"""),"Financial Services")</f>
        <v>Financial Services</v>
      </c>
      <c r="E29" s="9" t="str">
        <f aca="false">IFERROR(__xludf.dummyfunction("""COMPUTED_VALUE"""),"MUV2.DE")</f>
        <v>MUV2.DE</v>
      </c>
      <c r="F29" s="10" t="n">
        <f aca="false">IFERROR(__xludf.dummyfunction("""COMPUTED_VALUE"""),2.8)</f>
        <v>2.8</v>
      </c>
      <c r="G29" s="5" t="str">
        <f aca="false">IFERROR(__xludf.dummyfunction("""COMPUTED_VALUE"""),"039,642 (2020)")</f>
        <v>039,642 (2020)</v>
      </c>
      <c r="H29" s="8" t="n">
        <f aca="false">IFERROR(__xludf.dummyfunction("""COMPUTED_VALUE"""),1880)</f>
        <v>1880</v>
      </c>
    </row>
    <row r="30" customFormat="false" ht="18.75" hidden="false" customHeight="true" outlineLevel="0" collapsed="false">
      <c r="A30" s="8" t="n">
        <v>29</v>
      </c>
      <c r="B30" s="5"/>
      <c r="C30" s="5" t="str">
        <f aca="false">IFERROR(__xludf.dummyfunction("""COMPUTED_VALUE"""),"Porsche")</f>
        <v>Porsche</v>
      </c>
      <c r="D30" s="5" t="str">
        <f aca="false">IFERROR(__xludf.dummyfunction("""COMPUTED_VALUE"""),"Automobile")</f>
        <v>Automobile</v>
      </c>
      <c r="E30" s="9" t="str">
        <f aca="false">IFERROR(__xludf.dummyfunction("""COMPUTED_VALUE"""),"PAH3.DE")</f>
        <v>PAH3.DE</v>
      </c>
      <c r="F30" s="10" t="n">
        <f aca="false">IFERROR(__xludf.dummyfunction("""COMPUTED_VALUE"""),0.9)</f>
        <v>0.9</v>
      </c>
      <c r="G30" s="5" t="str">
        <f aca="false">IFERROR(__xludf.dummyfunction("""COMPUTED_VALUE"""),"000951 (2019)")</f>
        <v>000951 (2019)</v>
      </c>
      <c r="H30" s="8" t="n">
        <f aca="false">IFERROR(__xludf.dummyfunction("""COMPUTED_VALUE"""),2007)</f>
        <v>2007</v>
      </c>
    </row>
    <row r="31" customFormat="false" ht="18.75" hidden="false" customHeight="true" outlineLevel="0" collapsed="false">
      <c r="A31" s="8" t="n">
        <v>30</v>
      </c>
      <c r="B31" s="5"/>
      <c r="C31" s="5" t="str">
        <f aca="false">IFERROR(__xludf.dummyfunction("""COMPUTED_VALUE"""),"Puma")</f>
        <v>Puma</v>
      </c>
      <c r="D31" s="5" t="str">
        <f aca="false">IFERROR(__xludf.dummyfunction("""COMPUTED_VALUE"""),"Textile")</f>
        <v>Textile</v>
      </c>
      <c r="E31" s="9" t="str">
        <f aca="false">IFERROR(__xludf.dummyfunction("""COMPUTED_VALUE"""),"PUM.DE")</f>
        <v>PUM.DE</v>
      </c>
      <c r="F31" s="10" t="n">
        <f aca="false">IFERROR(__xludf.dummyfunction("""COMPUTED_VALUE"""),0.6)</f>
        <v>0.6</v>
      </c>
      <c r="G31" s="5" t="str">
        <f aca="false">IFERROR(__xludf.dummyfunction("""COMPUTED_VALUE"""),"014,374 (2020)")</f>
        <v>014,374 (2020)</v>
      </c>
      <c r="H31" s="8" t="n">
        <f aca="false">IFERROR(__xludf.dummyfunction("""COMPUTED_VALUE"""),1948)</f>
        <v>1948</v>
      </c>
    </row>
    <row r="32" customFormat="false" ht="18.75" hidden="false" customHeight="true" outlineLevel="0" collapsed="false">
      <c r="A32" s="8" t="n">
        <v>31</v>
      </c>
      <c r="B32" s="5"/>
      <c r="C32" s="5" t="str">
        <f aca="false">IFERROR(__xludf.dummyfunction("""COMPUTED_VALUE"""),"Qiagen")</f>
        <v>Qiagen</v>
      </c>
      <c r="D32" s="5" t="str">
        <f aca="false">IFERROR(__xludf.dummyfunction("""COMPUTED_VALUE"""),"Chemicals")</f>
        <v>Chemicals</v>
      </c>
      <c r="E32" s="9" t="str">
        <f aca="false">IFERROR(__xludf.dummyfunction("""COMPUTED_VALUE"""),"QIA.DE")</f>
        <v>QIA.DE</v>
      </c>
      <c r="F32" s="10" t="n">
        <f aca="false">IFERROR(__xludf.dummyfunction("""COMPUTED_VALUE"""),0.8)</f>
        <v>0.8</v>
      </c>
      <c r="G32" s="5" t="str">
        <f aca="false">IFERROR(__xludf.dummyfunction("""COMPUTED_VALUE"""),"005,900 (2021)")</f>
        <v>005,900 (2021)</v>
      </c>
      <c r="H32" s="8" t="n">
        <f aca="false">IFERROR(__xludf.dummyfunction("""COMPUTED_VALUE"""),1984)</f>
        <v>1984</v>
      </c>
    </row>
    <row r="33" customFormat="false" ht="18.75" hidden="false" customHeight="true" outlineLevel="0" collapsed="false">
      <c r="A33" s="8" t="n">
        <v>32</v>
      </c>
      <c r="B33" s="5"/>
      <c r="C33" s="5" t="str">
        <f aca="false">IFERROR(__xludf.dummyfunction("""COMPUTED_VALUE"""),"RWE")</f>
        <v>RWE</v>
      </c>
      <c r="D33" s="5" t="str">
        <f aca="false">IFERROR(__xludf.dummyfunction("""COMPUTED_VALUE"""),"Utilities")</f>
        <v>Utilities</v>
      </c>
      <c r="E33" s="9" t="str">
        <f aca="false">IFERROR(__xludf.dummyfunction("""COMPUTED_VALUE"""),"RWE.DE")</f>
        <v>RWE.DE</v>
      </c>
      <c r="F33" s="10" t="n">
        <f aca="false">IFERROR(__xludf.dummyfunction("""COMPUTED_VALUE"""),2.2)</f>
        <v>2.2</v>
      </c>
      <c r="G33" s="5" t="str">
        <f aca="false">IFERROR(__xludf.dummyfunction("""COMPUTED_VALUE"""),"018,246 (2021)")</f>
        <v>018,246 (2021)</v>
      </c>
      <c r="H33" s="8" t="n">
        <f aca="false">IFERROR(__xludf.dummyfunction("""COMPUTED_VALUE"""),1898)</f>
        <v>1898</v>
      </c>
    </row>
    <row r="34" customFormat="false" ht="18.75" hidden="false" customHeight="true" outlineLevel="0" collapsed="false">
      <c r="A34" s="8" t="n">
        <v>33</v>
      </c>
      <c r="B34" s="5"/>
      <c r="C34" s="5" t="str">
        <f aca="false">IFERROR(__xludf.dummyfunction("""COMPUTED_VALUE"""),"SAP")</f>
        <v>SAP</v>
      </c>
      <c r="D34" s="5" t="str">
        <f aca="false">IFERROR(__xludf.dummyfunction("""COMPUTED_VALUE"""),"Technology")</f>
        <v>Technology</v>
      </c>
      <c r="E34" s="9" t="str">
        <f aca="false">IFERROR(__xludf.dummyfunction("""COMPUTED_VALUE"""),"SAP.DE")</f>
        <v>SAP.DE</v>
      </c>
      <c r="F34" s="10" t="n">
        <f aca="false">IFERROR(__xludf.dummyfunction("""COMPUTED_VALUE"""),8.2)</f>
        <v>8.2</v>
      </c>
      <c r="G34" s="5" t="str">
        <f aca="false">IFERROR(__xludf.dummyfunction("""COMPUTED_VALUE"""),"107,415 (2021)")</f>
        <v>107,415 (2021)</v>
      </c>
      <c r="H34" s="8" t="n">
        <f aca="false">IFERROR(__xludf.dummyfunction("""COMPUTED_VALUE"""),1972)</f>
        <v>1972</v>
      </c>
    </row>
    <row r="35" customFormat="false" ht="18.75" hidden="false" customHeight="true" outlineLevel="0" collapsed="false">
      <c r="A35" s="8" t="n">
        <v>34</v>
      </c>
      <c r="B35" s="5"/>
      <c r="C35" s="5" t="str">
        <f aca="false">IFERROR(__xludf.dummyfunction("""COMPUTED_VALUE"""),"Sartorius")</f>
        <v>Sartorius</v>
      </c>
      <c r="D35" s="5" t="str">
        <f aca="false">IFERROR(__xludf.dummyfunction("""COMPUTED_VALUE"""),"Chemicals")</f>
        <v>Chemicals</v>
      </c>
      <c r="E35" s="9" t="str">
        <f aca="false">IFERROR(__xludf.dummyfunction("""COMPUTED_VALUE"""),"SRT3.DE")</f>
        <v>SRT3.DE</v>
      </c>
      <c r="F35" s="10" t="n">
        <f aca="false">IFERROR(__xludf.dummyfunction("""COMPUTED_VALUE"""),0.7)</f>
        <v>0.7</v>
      </c>
      <c r="G35" s="5" t="str">
        <f aca="false">IFERROR(__xludf.dummyfunction("""COMPUTED_VALUE"""),"010,637 (2020)")</f>
        <v>010,637 (2020)</v>
      </c>
      <c r="H35" s="8" t="n">
        <f aca="false">IFERROR(__xludf.dummyfunction("""COMPUTED_VALUE"""),1870)</f>
        <v>1870</v>
      </c>
    </row>
    <row r="36" customFormat="false" ht="18.75" hidden="false" customHeight="true" outlineLevel="0" collapsed="false">
      <c r="A36" s="8" t="n">
        <v>35</v>
      </c>
      <c r="B36" s="5"/>
      <c r="C36" s="5" t="str">
        <f aca="false">IFERROR(__xludf.dummyfunction("""COMPUTED_VALUE"""),"Siemens")</f>
        <v>Siemens</v>
      </c>
      <c r="D36" s="5" t="str">
        <f aca="false">IFERROR(__xludf.dummyfunction("""COMPUTED_VALUE"""),"Industrials")</f>
        <v>Industrials</v>
      </c>
      <c r="E36" s="9" t="str">
        <f aca="false">IFERROR(__xludf.dummyfunction("""COMPUTED_VALUE"""),"SIE.DE")</f>
        <v>SIE.DE</v>
      </c>
      <c r="F36" s="10" t="n">
        <f aca="false">IFERROR(__xludf.dummyfunction("""COMPUTED_VALUE"""),6.8)</f>
        <v>6.8</v>
      </c>
      <c r="G36" s="5" t="str">
        <f aca="false">IFERROR(__xludf.dummyfunction("""COMPUTED_VALUE"""),"303,000 (2021)")</f>
        <v>303,000 (2021)</v>
      </c>
      <c r="H36" s="8" t="n">
        <f aca="false">IFERROR(__xludf.dummyfunction("""COMPUTED_VALUE"""),1847)</f>
        <v>1847</v>
      </c>
    </row>
    <row r="37" customFormat="false" ht="18.75" hidden="false" customHeight="true" outlineLevel="0" collapsed="false">
      <c r="A37" s="8" t="n">
        <v>36</v>
      </c>
      <c r="B37" s="5"/>
      <c r="C37" s="5" t="str">
        <f aca="false">IFERROR(__xludf.dummyfunction("""COMPUTED_VALUE"""),"Siemens Healthineers")</f>
        <v>Siemens Healthineers</v>
      </c>
      <c r="D37" s="5" t="str">
        <f aca="false">IFERROR(__xludf.dummyfunction("""COMPUTED_VALUE"""),"Healthcare")</f>
        <v>Healthcare</v>
      </c>
      <c r="E37" s="9" t="str">
        <f aca="false">IFERROR(__xludf.dummyfunction("""COMPUTED_VALUE"""),"SHL.DE")</f>
        <v>SHL.DE</v>
      </c>
      <c r="F37" s="10" t="n">
        <f aca="false">IFERROR(__xludf.dummyfunction("""COMPUTED_VALUE"""),1.1)</f>
        <v>1.1</v>
      </c>
      <c r="G37" s="5" t="str">
        <f aca="false">IFERROR(__xludf.dummyfunction("""COMPUTED_VALUE"""),"088,000 (2019)")</f>
        <v>088,000 (2019)</v>
      </c>
      <c r="H37" s="8" t="n">
        <f aca="false">IFERROR(__xludf.dummyfunction("""COMPUTED_VALUE"""),2020)</f>
        <v>2020</v>
      </c>
    </row>
    <row r="38" customFormat="false" ht="18.75" hidden="false" customHeight="true" outlineLevel="0" collapsed="false">
      <c r="A38" s="8" t="n">
        <v>37</v>
      </c>
      <c r="B38" s="5"/>
      <c r="C38" s="5" t="str">
        <f aca="false">IFERROR(__xludf.dummyfunction("""COMPUTED_VALUE"""),"Symrise")</f>
        <v>Symrise</v>
      </c>
      <c r="D38" s="5" t="str">
        <f aca="false">IFERROR(__xludf.dummyfunction("""COMPUTED_VALUE"""),"Chemicals")</f>
        <v>Chemicals</v>
      </c>
      <c r="E38" s="9" t="str">
        <f aca="false">IFERROR(__xludf.dummyfunction("""COMPUTED_VALUE"""),"SY1.DE")</f>
        <v>SY1.DE</v>
      </c>
      <c r="F38" s="10" t="n">
        <f aca="false">IFERROR(__xludf.dummyfunction("""COMPUTED_VALUE"""),1.1)</f>
        <v>1.1</v>
      </c>
      <c r="G38" s="5" t="str">
        <f aca="false">IFERROR(__xludf.dummyfunction("""COMPUTED_VALUE"""),"011,276 (2021)")</f>
        <v>011,276 (2021)</v>
      </c>
      <c r="H38" s="8" t="n">
        <f aca="false">IFERROR(__xludf.dummyfunction("""COMPUTED_VALUE"""),2003)</f>
        <v>2003</v>
      </c>
    </row>
    <row r="39" customFormat="false" ht="18.75" hidden="false" customHeight="true" outlineLevel="0" collapsed="false">
      <c r="A39" s="8" t="n">
        <v>38</v>
      </c>
      <c r="B39" s="5"/>
      <c r="C39" s="5" t="str">
        <f aca="false">IFERROR(__xludf.dummyfunction("""COMPUTED_VALUE"""),"Volkswagen Group")</f>
        <v>Volkswagen Group</v>
      </c>
      <c r="D39" s="5" t="str">
        <f aca="false">IFERROR(__xludf.dummyfunction("""COMPUTED_VALUE"""),"Automobile")</f>
        <v>Automobile</v>
      </c>
      <c r="E39" s="9" t="str">
        <f aca="false">IFERROR(__xludf.dummyfunction("""COMPUTED_VALUE"""),"VOW3.DE")</f>
        <v>VOW3.DE</v>
      </c>
      <c r="F39" s="10" t="n">
        <f aca="false">IFERROR(__xludf.dummyfunction("""COMPUTED_VALUE"""),2.4)</f>
        <v>2.4</v>
      </c>
      <c r="G39" s="5" t="str">
        <f aca="false">IFERROR(__xludf.dummyfunction("""COMPUTED_VALUE"""),"672,800 (2021)")</f>
        <v>672,800 (2021)</v>
      </c>
      <c r="H39" s="8" t="n">
        <f aca="false">IFERROR(__xludf.dummyfunction("""COMPUTED_VALUE"""),1937)</f>
        <v>1937</v>
      </c>
    </row>
    <row r="40" customFormat="false" ht="18.75" hidden="false" customHeight="true" outlineLevel="0" collapsed="false">
      <c r="A40" s="8" t="n">
        <v>39</v>
      </c>
      <c r="B40" s="5"/>
      <c r="C40" s="5" t="str">
        <f aca="false">IFERROR(__xludf.dummyfunction("""COMPUTED_VALUE"""),"Vonovia")</f>
        <v>Vonovia</v>
      </c>
      <c r="D40" s="5" t="str">
        <f aca="false">IFERROR(__xludf.dummyfunction("""COMPUTED_VALUE"""),"Real Estate")</f>
        <v>Real Estate</v>
      </c>
      <c r="E40" s="9" t="str">
        <f aca="false">IFERROR(__xludf.dummyfunction("""COMPUTED_VALUE"""),"VNA.DE")</f>
        <v>VNA.DE</v>
      </c>
      <c r="F40" s="8" t="n">
        <f aca="false">IFERROR(__xludf.dummyfunction("""COMPUTED_VALUE"""),2)</f>
        <v>2</v>
      </c>
      <c r="G40" s="5" t="str">
        <f aca="false">IFERROR(__xludf.dummyfunction("""COMPUTED_VALUE"""),"010,622 (2020)")</f>
        <v>010,622 (2020)</v>
      </c>
      <c r="H40" s="8" t="n">
        <f aca="false">IFERROR(__xludf.dummyfunction("""COMPUTED_VALUE"""),2001)</f>
        <v>2001</v>
      </c>
    </row>
    <row r="41" customFormat="false" ht="18.75" hidden="false" customHeight="true" outlineLevel="0" collapsed="false">
      <c r="A41" s="8" t="n">
        <v>40</v>
      </c>
      <c r="B41" s="5"/>
      <c r="C41" s="5" t="str">
        <f aca="false">IFERROR(__xludf.dummyfunction("""COMPUTED_VALUE"""),"Zalando")</f>
        <v>Zalando</v>
      </c>
      <c r="D41" s="5" t="str">
        <f aca="false">IFERROR(__xludf.dummyfunction("""COMPUTED_VALUE"""),"E-Commerce")</f>
        <v>E-Commerce</v>
      </c>
      <c r="E41" s="9" t="str">
        <f aca="false">IFERROR(__xludf.dummyfunction("""COMPUTED_VALUE"""),"ZAL.DE")</f>
        <v>ZAL.DE</v>
      </c>
      <c r="F41" s="10" t="n">
        <f aca="false">IFERROR(__xludf.dummyfunction("""COMPUTED_VALUE"""),0.5)</f>
        <v>0.5</v>
      </c>
      <c r="G41" s="5" t="str">
        <f aca="false">IFERROR(__xludf.dummyfunction("""COMPUTED_VALUE"""),"017,000 (2021)")</f>
        <v>017,000 (2021)</v>
      </c>
      <c r="H41" s="8" t="n">
        <f aca="false">IFERROR(__xludf.dummyfunction("""COMPUTED_VALUE"""),2008)</f>
        <v>2008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61:61 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3.57"/>
    <col collapsed="false" customWidth="true" hidden="false" outlineLevel="0" max="2" min="2" style="2" width="13.57"/>
    <col collapsed="false" customWidth="true" hidden="false" outlineLevel="0" max="3" min="3" style="2" width="25.42"/>
    <col collapsed="false" customWidth="true" hidden="false" outlineLevel="0" max="9" min="4" style="2" width="13.57"/>
  </cols>
  <sheetData>
    <row r="1" customFormat="false" ht="18.75" hidden="false" customHeight="true" outlineLevel="0" collapsed="false">
      <c r="A1" s="4"/>
      <c r="B1" s="5" t="str">
        <f aca="false">IFERROR(__xludf.dummyfunction("IMPORTHTML(""https://en.wikipedia.org/wiki/MDAX#Companies"",""table"",3)"),"Logo")</f>
        <v>Logo</v>
      </c>
      <c r="C1" s="5" t="str">
        <f aca="false">IFERROR(__xludf.dummyfunction("""COMPUTED_VALUE"""),"Name")</f>
        <v>Name</v>
      </c>
      <c r="D1" s="5" t="str">
        <f aca="false">IFERROR(__xludf.dummyfunction("""COMPUTED_VALUE"""),"Industry")</f>
        <v>Industry</v>
      </c>
      <c r="E1" s="5" t="str">
        <f aca="false">IFERROR(__xludf.dummyfunction("""COMPUTED_VALUE"""),"Index weighting")</f>
        <v>Index weighting</v>
      </c>
      <c r="F1" s="11" t="s">
        <v>0</v>
      </c>
      <c r="G1" s="11" t="s">
        <v>1</v>
      </c>
      <c r="H1" s="11" t="str">
        <f aca="false">IFERROR(__xludf.dummyfunction("""COMPUTED_VALUE"""),"Location")</f>
        <v>Location</v>
      </c>
      <c r="I1" s="11" t="str">
        <f aca="false">IFERROR(__xludf.dummyfunction("""COMPUTED_VALUE"""),"Symbol")</f>
        <v>Symbol</v>
      </c>
    </row>
    <row r="2" customFormat="false" ht="18.75" hidden="false" customHeight="true" outlineLevel="0" collapsed="false">
      <c r="A2" s="8" t="n">
        <v>1</v>
      </c>
      <c r="B2" s="11"/>
      <c r="C2" s="12" t="str">
        <f aca="false">IFERROR(__xludf.dummyfunction("""COMPUTED_VALUE"""),"Aareal Bank AG")</f>
        <v>Aareal Bank AG</v>
      </c>
      <c r="D2" s="11" t="str">
        <f aca="false">IFERROR(__xludf.dummyfunction("""COMPUTED_VALUE"""),"Bank")</f>
        <v>Bank</v>
      </c>
      <c r="E2" s="11" t="str">
        <f aca="false">IFERROR(__xludf.dummyfunction("""COMPUTED_VALUE"""),"0,42")</f>
        <v>0,42</v>
      </c>
      <c r="F2" s="11" t="str">
        <f aca="false">IFERROR(__xludf.dummyfunction("""COMPUTED_VALUE"""),"059.857.221")</f>
        <v>059.857.221</v>
      </c>
      <c r="G2" s="11" t="str">
        <f aca="false">IFERROR(__xludf.dummyfunction("""COMPUTED_VALUE"""),"1.071,44")</f>
        <v>1.071,44</v>
      </c>
      <c r="H2" s="11" t="str">
        <f aca="false">IFERROR(__xludf.dummyfunction("""COMPUTED_VALUE"""),"Wiesbaden")</f>
        <v>Wiesbaden</v>
      </c>
      <c r="I2" s="11" t="str">
        <f aca="false">IFERROR(__xludf.dummyfunction("""COMPUTED_VALUE"""),"ARL")</f>
        <v>ARL</v>
      </c>
    </row>
    <row r="3" customFormat="false" ht="18.75" hidden="false" customHeight="true" outlineLevel="0" collapsed="false">
      <c r="A3" s="8" t="n">
        <v>2</v>
      </c>
      <c r="B3" s="11"/>
      <c r="C3" s="11" t="str">
        <f aca="false">IFERROR(__xludf.dummyfunction("""COMPUTED_VALUE"""),"Airbus SE")</f>
        <v>Airbus SE</v>
      </c>
      <c r="D3" s="11" t="str">
        <f aca="false">IFERROR(__xludf.dummyfunction("""COMPUTED_VALUE"""),"Aerospace, Defence")</f>
        <v>Aerospace, Defence</v>
      </c>
      <c r="E3" s="11" t="str">
        <f aca="false">IFERROR(__xludf.dummyfunction("""COMPUTED_VALUE"""),"8,15")</f>
        <v>8,15</v>
      </c>
      <c r="F3" s="11" t="str">
        <f aca="false">IFERROR(__xludf.dummyfunction("""COMPUTED_VALUE"""),"411.818.320")</f>
        <v>411.818.320</v>
      </c>
      <c r="G3" s="11" t="str">
        <f aca="false">IFERROR(__xludf.dummyfunction("""COMPUTED_VALUE"""),"21.015,04")</f>
        <v>21.015,04</v>
      </c>
      <c r="H3" s="11" t="str">
        <f aca="false">IFERROR(__xludf.dummyfunction("""COMPUTED_VALUE"""),"Leiden (Netherlands), Toulouse (France)")</f>
        <v>Leiden (Netherlands), Toulouse (France)</v>
      </c>
      <c r="I3" s="11" t="str">
        <f aca="false">IFERROR(__xludf.dummyfunction("""COMPUTED_VALUE"""),"AIR")</f>
        <v>AIR</v>
      </c>
    </row>
    <row r="4" customFormat="false" ht="18.75" hidden="false" customHeight="true" outlineLevel="0" collapsed="false">
      <c r="A4" s="8" t="n">
        <v>3</v>
      </c>
      <c r="B4" s="11"/>
      <c r="C4" s="11" t="str">
        <f aca="false">IFERROR(__xludf.dummyfunction("""COMPUTED_VALUE"""),"Aixtron SE")</f>
        <v>Aixtron SE</v>
      </c>
      <c r="D4" s="11" t="str">
        <f aca="false">IFERROR(__xludf.dummyfunction("""COMPUTED_VALUE"""),"Semiconductor industry")</f>
        <v>Semiconductor industry</v>
      </c>
      <c r="E4" s="11"/>
      <c r="F4" s="11"/>
      <c r="G4" s="11"/>
      <c r="H4" s="11" t="str">
        <f aca="false">IFERROR(__xludf.dummyfunction("""COMPUTED_VALUE"""),"Herzogenrath")</f>
        <v>Herzogenrath</v>
      </c>
      <c r="I4" s="11" t="str">
        <f aca="false">IFERROR(__xludf.dummyfunction("""COMPUTED_VALUE"""),"AIXA")</f>
        <v>AIXA</v>
      </c>
    </row>
    <row r="5" customFormat="false" ht="18.75" hidden="false" customHeight="true" outlineLevel="0" collapsed="false">
      <c r="A5" s="8" t="n">
        <v>4</v>
      </c>
      <c r="B5" s="11"/>
      <c r="C5" s="11" t="str">
        <f aca="false">IFERROR(__xludf.dummyfunction("""COMPUTED_VALUE"""),"alstria office REIT-AG")</f>
        <v>alstria office REIT-AG</v>
      </c>
      <c r="D5" s="11" t="str">
        <f aca="false">IFERROR(__xludf.dummyfunction("""COMPUTED_VALUE"""),"Real estate")</f>
        <v>Real estate</v>
      </c>
      <c r="E5" s="11" t="str">
        <f aca="false">IFERROR(__xludf.dummyfunction("""COMPUTED_VALUE"""),"0,95")</f>
        <v>0,95</v>
      </c>
      <c r="F5" s="11" t="str">
        <f aca="false">IFERROR(__xludf.dummyfunction("""COMPUTED_VALUE"""),"177.593.422")</f>
        <v>177.593.422</v>
      </c>
      <c r="G5" s="11" t="str">
        <f aca="false">IFERROR(__xludf.dummyfunction("""COMPUTED_VALUE"""),"2.441,91")</f>
        <v>2.441,91</v>
      </c>
      <c r="H5" s="11" t="str">
        <f aca="false">IFERROR(__xludf.dummyfunction("""COMPUTED_VALUE"""),"Hamburg")</f>
        <v>Hamburg</v>
      </c>
      <c r="I5" s="11" t="str">
        <f aca="false">IFERROR(__xludf.dummyfunction("""COMPUTED_VALUE"""),"AOX")</f>
        <v>AOX</v>
      </c>
    </row>
    <row r="6" customFormat="false" ht="18.75" hidden="false" customHeight="true" outlineLevel="0" collapsed="false">
      <c r="A6" s="8" t="n">
        <v>5</v>
      </c>
      <c r="B6" s="11"/>
      <c r="C6" s="11" t="str">
        <f aca="false">IFERROR(__xludf.dummyfunction("""COMPUTED_VALUE"""),"Aroundtown S.A.")</f>
        <v>Aroundtown S.A.</v>
      </c>
      <c r="D6" s="11" t="str">
        <f aca="false">IFERROR(__xludf.dummyfunction("""COMPUTED_VALUE"""),"Real estate")</f>
        <v>Real estate</v>
      </c>
      <c r="E6" s="11" t="str">
        <f aca="false">IFERROR(__xludf.dummyfunction("""COMPUTED_VALUE"""),"2,55")</f>
        <v>2,55</v>
      </c>
      <c r="F6" s="11" t="str">
        <f aca="false">IFERROR(__xludf.dummyfunction("""COMPUTED_VALUE"""),"1.536.397.797")</f>
        <v>1.536.397.797</v>
      </c>
      <c r="G6" s="11" t="str">
        <f aca="false">IFERROR(__xludf.dummyfunction("""COMPUTED_VALUE"""),"6.571,42")</f>
        <v>6.571,42</v>
      </c>
      <c r="H6" s="11" t="str">
        <f aca="false">IFERROR(__xludf.dummyfunction("""COMPUTED_VALUE"""),"Luxemburg")</f>
        <v>Luxemburg</v>
      </c>
      <c r="I6" s="11" t="str">
        <f aca="false">IFERROR(__xludf.dummyfunction("""COMPUTED_VALUE"""),"AT1")</f>
        <v>AT1</v>
      </c>
    </row>
    <row r="7" customFormat="false" ht="18.75" hidden="false" customHeight="true" outlineLevel="0" collapsed="false">
      <c r="A7" s="8" t="n">
        <v>6</v>
      </c>
      <c r="B7" s="11"/>
      <c r="C7" s="11" t="str">
        <f aca="false">IFERROR(__xludf.dummyfunction("""COMPUTED_VALUE"""),"Aurubis AG")</f>
        <v>Aurubis AG</v>
      </c>
      <c r="D7" s="11" t="str">
        <f aca="false">IFERROR(__xludf.dummyfunction("""COMPUTED_VALUE"""),"Metals")</f>
        <v>Metals</v>
      </c>
      <c r="E7" s="11" t="str">
        <f aca="false">IFERROR(__xludf.dummyfunction("""COMPUTED_VALUE"""),"0,60")</f>
        <v>0,60</v>
      </c>
      <c r="F7" s="11" t="str">
        <f aca="false">IFERROR(__xludf.dummyfunction("""COMPUTED_VALUE"""),"044.956.723")</f>
        <v>044.956.723</v>
      </c>
      <c r="G7" s="11" t="str">
        <f aca="false">IFERROR(__xludf.dummyfunction("""COMPUTED_VALUE"""),"1.548,63")</f>
        <v>1.548,63</v>
      </c>
      <c r="H7" s="11" t="str">
        <f aca="false">IFERROR(__xludf.dummyfunction("""COMPUTED_VALUE"""),"Hamburg")</f>
        <v>Hamburg</v>
      </c>
      <c r="I7" s="11" t="str">
        <f aca="false">IFERROR(__xludf.dummyfunction("""COMPUTED_VALUE"""),"NDA")</f>
        <v>NDA</v>
      </c>
    </row>
    <row r="8" customFormat="false" ht="18.75" hidden="false" customHeight="true" outlineLevel="0" collapsed="false">
      <c r="A8" s="8" t="n">
        <v>7</v>
      </c>
      <c r="B8" s="11"/>
      <c r="C8" s="11" t="str">
        <f aca="false">IFERROR(__xludf.dummyfunction("""COMPUTED_VALUE"""),"Bechtle AG")</f>
        <v>Bechtle AG</v>
      </c>
      <c r="D8" s="11" t="str">
        <f aca="false">IFERROR(__xludf.dummyfunction("""COMPUTED_VALUE"""),"IT services")</f>
        <v>IT services</v>
      </c>
      <c r="E8" s="11" t="str">
        <f aca="false">IFERROR(__xludf.dummyfunction("""COMPUTED_VALUE"""),"1,64")</f>
        <v>1,64</v>
      </c>
      <c r="F8" s="11" t="str">
        <f aca="false">IFERROR(__xludf.dummyfunction("""COMPUTED_VALUE"""),"042.000.000")</f>
        <v>042.000.000</v>
      </c>
      <c r="G8" s="11" t="str">
        <f aca="false">IFERROR(__xludf.dummyfunction("""COMPUTED_VALUE"""),"4.230,20")</f>
        <v>4.230,20</v>
      </c>
      <c r="H8" s="11" t="str">
        <f aca="false">IFERROR(__xludf.dummyfunction("""COMPUTED_VALUE"""),"Neckarsulm")</f>
        <v>Neckarsulm</v>
      </c>
      <c r="I8" s="11" t="str">
        <f aca="false">IFERROR(__xludf.dummyfunction("""COMPUTED_VALUE"""),"BC8")</f>
        <v>BC8</v>
      </c>
    </row>
    <row r="9" customFormat="false" ht="18.75" hidden="false" customHeight="true" outlineLevel="0" collapsed="false">
      <c r="A9" s="8" t="n">
        <v>8</v>
      </c>
      <c r="B9" s="11"/>
      <c r="C9" s="11" t="str">
        <f aca="false">IFERROR(__xludf.dummyfunction("""COMPUTED_VALUE"""),"Brenntag AG")</f>
        <v>Brenntag AG</v>
      </c>
      <c r="D9" s="11" t="str">
        <f aca="false">IFERROR(__xludf.dummyfunction("""COMPUTED_VALUE"""),"Chemical distribution")</f>
        <v>Chemical distribution</v>
      </c>
      <c r="E9" s="11" t="str">
        <f aca="false">IFERROR(__xludf.dummyfunction("""COMPUTED_VALUE"""),"2,82")</f>
        <v>2,82</v>
      </c>
      <c r="F9" s="11" t="str">
        <f aca="false">IFERROR(__xludf.dummyfunction("""COMPUTED_VALUE"""),"154.500.000")</f>
        <v>154.500.000</v>
      </c>
      <c r="G9" s="11" t="str">
        <f aca="false">IFERROR(__xludf.dummyfunction("""COMPUTED_VALUE"""),"7.261,50")</f>
        <v>7.261,50</v>
      </c>
      <c r="H9" s="11" t="str">
        <f aca="false">IFERROR(__xludf.dummyfunction("""COMPUTED_VALUE"""),"Essen")</f>
        <v>Essen</v>
      </c>
      <c r="I9" s="11" t="str">
        <f aca="false">IFERROR(__xludf.dummyfunction("""COMPUTED_VALUE"""),"BNR")</f>
        <v>BNR</v>
      </c>
    </row>
    <row r="10" customFormat="false" ht="18.75" hidden="false" customHeight="true" outlineLevel="0" collapsed="false">
      <c r="A10" s="8" t="n">
        <v>9</v>
      </c>
      <c r="B10" s="11"/>
      <c r="C10" s="11" t="str">
        <f aca="false">IFERROR(__xludf.dummyfunction("""COMPUTED_VALUE"""),"Cancom SE")</f>
        <v>Cancom SE</v>
      </c>
      <c r="D10" s="11" t="str">
        <f aca="false">IFERROR(__xludf.dummyfunction("""COMPUTED_VALUE"""),"IT services")</f>
        <v>IT services</v>
      </c>
      <c r="E10" s="11" t="str">
        <f aca="false">IFERROR(__xludf.dummyfunction("""COMPUTED_VALUE"""),"0,76")</f>
        <v>0,76</v>
      </c>
      <c r="F10" s="11" t="str">
        <f aca="false">IFERROR(__xludf.dummyfunction("""COMPUTED_VALUE"""),"038.548.001")</f>
        <v>038.548.001</v>
      </c>
      <c r="G10" s="11" t="str">
        <f aca="false">IFERROR(__xludf.dummyfunction("""COMPUTED_VALUE"""),"1.950,53")</f>
        <v>1.950,53</v>
      </c>
      <c r="H10" s="11" t="str">
        <f aca="false">IFERROR(__xludf.dummyfunction("""COMPUTED_VALUE"""),"München")</f>
        <v>München</v>
      </c>
      <c r="I10" s="11" t="str">
        <f aca="false">IFERROR(__xludf.dummyfunction("""COMPUTED_VALUE"""),"COK")</f>
        <v>COK</v>
      </c>
    </row>
    <row r="11" customFormat="false" ht="18.75" hidden="false" customHeight="true" outlineLevel="0" collapsed="false">
      <c r="A11" s="8" t="n">
        <v>10</v>
      </c>
      <c r="B11" s="11"/>
      <c r="C11" s="11" t="str">
        <f aca="false">IFERROR(__xludf.dummyfunction("""COMPUTED_VALUE"""),"Carl Zeiss Meditec AG")</f>
        <v>Carl Zeiss Meditec AG</v>
      </c>
      <c r="D11" s="11" t="str">
        <f aca="false">IFERROR(__xludf.dummyfunction("""COMPUTED_VALUE"""),"Medical technology")</f>
        <v>Medical technology</v>
      </c>
      <c r="E11" s="11" t="str">
        <f aca="false">IFERROR(__xludf.dummyfunction("""COMPUTED_VALUE"""),"1,29")</f>
        <v>1,29</v>
      </c>
      <c r="F11" s="11" t="str">
        <f aca="false">IFERROR(__xludf.dummyfunction("""COMPUTED_VALUE"""),"089.440.570")</f>
        <v>089.440.570</v>
      </c>
      <c r="G11" s="11" t="str">
        <f aca="false">IFERROR(__xludf.dummyfunction("""COMPUTED_VALUE"""),"3.334,77")</f>
        <v>3.334,77</v>
      </c>
      <c r="H11" s="11" t="str">
        <f aca="false">IFERROR(__xludf.dummyfunction("""COMPUTED_VALUE"""),"Jena")</f>
        <v>Jena</v>
      </c>
      <c r="I11" s="11" t="str">
        <f aca="false">IFERROR(__xludf.dummyfunction("""COMPUTED_VALUE"""),"AFX")</f>
        <v>AFX</v>
      </c>
    </row>
    <row r="12" customFormat="false" ht="18.75" hidden="false" customHeight="true" outlineLevel="0" collapsed="false">
      <c r="A12" s="8" t="n">
        <v>11</v>
      </c>
      <c r="B12" s="11"/>
      <c r="C12" s="13" t="str">
        <f aca="false">IFERROR(__xludf.dummyfunction("""COMPUTED_VALUE"""),"Commerzbank AG")</f>
        <v>Commerzbank AG</v>
      </c>
      <c r="D12" s="11" t="str">
        <f aca="false">IFERROR(__xludf.dummyfunction("""COMPUTED_VALUE"""),"Bank")</f>
        <v>Bank</v>
      </c>
      <c r="E12" s="11" t="str">
        <f aca="false">IFERROR(__xludf.dummyfunction("""COMPUTED_VALUE"""),"1,49")</f>
        <v>1,49</v>
      </c>
      <c r="F12" s="11" t="str">
        <f aca="false">IFERROR(__xludf.dummyfunction("""COMPUTED_VALUE"""),"1.252.357.634")</f>
        <v>1.252.357.634</v>
      </c>
      <c r="G12" s="11" t="str">
        <f aca="false">IFERROR(__xludf.dummyfunction("""COMPUTED_VALUE"""),"3.829,84")</f>
        <v>3.829,84</v>
      </c>
      <c r="H12" s="11" t="str">
        <f aca="false">IFERROR(__xludf.dummyfunction("""COMPUTED_VALUE"""),"Frankfurt")</f>
        <v>Frankfurt</v>
      </c>
      <c r="I12" s="11" t="str">
        <f aca="false">IFERROR(__xludf.dummyfunction("""COMPUTED_VALUE"""),"CBK")</f>
        <v>CBK</v>
      </c>
    </row>
    <row r="13" customFormat="false" ht="18.75" hidden="false" customHeight="true" outlineLevel="0" collapsed="false">
      <c r="A13" s="8" t="n">
        <v>12</v>
      </c>
      <c r="B13" s="11"/>
      <c r="C13" s="13" t="str">
        <f aca="false">IFERROR(__xludf.dummyfunction("""COMPUTED_VALUE"""),"CompuGroup Medical SE")</f>
        <v>CompuGroup Medical SE</v>
      </c>
      <c r="D13" s="11" t="str">
        <f aca="false">IFERROR(__xludf.dummyfunction("""COMPUTED_VALUE"""),"Software")</f>
        <v>Software</v>
      </c>
      <c r="E13" s="11" t="str">
        <f aca="false">IFERROR(__xludf.dummyfunction("""COMPUTED_VALUE"""),"0,57")</f>
        <v>0,57</v>
      </c>
      <c r="F13" s="11" t="str">
        <f aca="false">IFERROR(__xludf.dummyfunction("""COMPUTED_VALUE"""),"053.219.350")</f>
        <v>053.219.350</v>
      </c>
      <c r="G13" s="11" t="str">
        <f aca="false">IFERROR(__xludf.dummyfunction("""COMPUTED_VALUE"""),"1.466,69")</f>
        <v>1.466,69</v>
      </c>
      <c r="H13" s="11" t="str">
        <f aca="false">IFERROR(__xludf.dummyfunction("""COMPUTED_VALUE"""),"Koblenz")</f>
        <v>Koblenz</v>
      </c>
      <c r="I13" s="11" t="str">
        <f aca="false">IFERROR(__xludf.dummyfunction("""COMPUTED_VALUE"""),"COP")</f>
        <v>COP</v>
      </c>
    </row>
    <row r="14" customFormat="false" ht="18.75" hidden="false" customHeight="true" outlineLevel="0" collapsed="false">
      <c r="A14" s="8" t="n">
        <v>13</v>
      </c>
      <c r="B14" s="11"/>
      <c r="C14" s="11" t="str">
        <f aca="false">IFERROR(__xludf.dummyfunction("""COMPUTED_VALUE"""),"CTS Eventim AG &amp; Co. KGaA")</f>
        <v>CTS Eventim AG &amp; Co. KGaA</v>
      </c>
      <c r="D14" s="11" t="str">
        <f aca="false">IFERROR(__xludf.dummyfunction("""COMPUTED_VALUE"""),"Leisure-events")</f>
        <v>Leisure-events</v>
      </c>
      <c r="E14" s="11" t="str">
        <f aca="false">IFERROR(__xludf.dummyfunction("""COMPUTED_VALUE"""),"0,90")</f>
        <v>0,90</v>
      </c>
      <c r="F14" s="11" t="str">
        <f aca="false">IFERROR(__xludf.dummyfunction("""COMPUTED_VALUE"""),"096.000.000")</f>
        <v>096.000.000</v>
      </c>
      <c r="G14" s="11" t="str">
        <f aca="false">IFERROR(__xludf.dummyfunction("""COMPUTED_VALUE"""),"2.321,54")</f>
        <v>2.321,54</v>
      </c>
      <c r="H14" s="11" t="str">
        <f aca="false">IFERROR(__xludf.dummyfunction("""COMPUTED_VALUE"""),"München")</f>
        <v>München</v>
      </c>
      <c r="I14" s="11" t="str">
        <f aca="false">IFERROR(__xludf.dummyfunction("""COMPUTED_VALUE"""),"EVD")</f>
        <v>EVD</v>
      </c>
    </row>
    <row r="15" customFormat="false" ht="18.75" hidden="false" customHeight="true" outlineLevel="0" collapsed="false">
      <c r="A15" s="8" t="n">
        <v>14</v>
      </c>
      <c r="B15" s="11"/>
      <c r="C15" s="11" t="str">
        <f aca="false">IFERROR(__xludf.dummyfunction("""COMPUTED_VALUE"""),"Deutsche Lufthansa AG")</f>
        <v>Deutsche Lufthansa AG</v>
      </c>
      <c r="D15" s="11" t="str">
        <f aca="false">IFERROR(__xludf.dummyfunction("""COMPUTED_VALUE"""),"Airlines")</f>
        <v>Airlines</v>
      </c>
      <c r="E15" s="11"/>
      <c r="F15" s="11"/>
      <c r="G15" s="11"/>
      <c r="H15" s="11" t="str">
        <f aca="false">IFERROR(__xludf.dummyfunction("""COMPUTED_VALUE"""),"Köln")</f>
        <v>Köln</v>
      </c>
      <c r="I15" s="11" t="str">
        <f aca="false">IFERROR(__xludf.dummyfunction("""COMPUTED_VALUE"""),"LHA")</f>
        <v>LHA</v>
      </c>
    </row>
    <row r="16" customFormat="false" ht="18.75" hidden="false" customHeight="true" outlineLevel="0" collapsed="false">
      <c r="A16" s="8" t="n">
        <v>15</v>
      </c>
      <c r="B16" s="11"/>
      <c r="C16" s="11" t="str">
        <f aca="false">IFERROR(__xludf.dummyfunction("""COMPUTED_VALUE"""),"Dürr AG")</f>
        <v>Dürr AG</v>
      </c>
      <c r="D16" s="11" t="str">
        <f aca="false">IFERROR(__xludf.dummyfunction("""COMPUTED_VALUE"""),"Plant and machinery construction")</f>
        <v>Plant and machinery construction</v>
      </c>
      <c r="E16" s="11" t="str">
        <f aca="false">IFERROR(__xludf.dummyfunction("""COMPUTED_VALUE"""),"0,43")</f>
        <v>0,43</v>
      </c>
      <c r="F16" s="11" t="str">
        <f aca="false">IFERROR(__xludf.dummyfunction("""COMPUTED_VALUE"""),"069.202.080")</f>
        <v>069.202.080</v>
      </c>
      <c r="G16" s="11" t="str">
        <f aca="false">IFERROR(__xludf.dummyfunction("""COMPUTED_VALUE"""),"1.109,83")</f>
        <v>1.109,83</v>
      </c>
      <c r="H16" s="11" t="str">
        <f aca="false">IFERROR(__xludf.dummyfunction("""COMPUTED_VALUE"""),"Bietigheim-Bissingen")</f>
        <v>Bietigheim-Bissingen</v>
      </c>
      <c r="I16" s="11" t="str">
        <f aca="false">IFERROR(__xludf.dummyfunction("""COMPUTED_VALUE"""),"DUE")</f>
        <v>DUE</v>
      </c>
    </row>
    <row r="17" customFormat="false" ht="18.75" hidden="false" customHeight="true" outlineLevel="0" collapsed="false">
      <c r="A17" s="8" t="n">
        <v>16</v>
      </c>
      <c r="B17" s="11"/>
      <c r="C17" s="11" t="str">
        <f aca="false">IFERROR(__xludf.dummyfunction("""COMPUTED_VALUE"""),"Evonik Industries AG")</f>
        <v>Evonik Industries AG</v>
      </c>
      <c r="D17" s="11" t="str">
        <f aca="false">IFERROR(__xludf.dummyfunction("""COMPUTED_VALUE"""),"Chemistry")</f>
        <v>Chemistry</v>
      </c>
      <c r="E17" s="11" t="str">
        <f aca="false">IFERROR(__xludf.dummyfunction("""COMPUTED_VALUE"""),"1,74")</f>
        <v>1,74</v>
      </c>
      <c r="F17" s="11" t="str">
        <f aca="false">IFERROR(__xludf.dummyfunction("""COMPUTED_VALUE"""),"466.000.000")</f>
        <v>466.000.000</v>
      </c>
      <c r="G17" s="11" t="str">
        <f aca="false">IFERROR(__xludf.dummyfunction("""COMPUTED_VALUE"""),"4.488,28")</f>
        <v>4.488,28</v>
      </c>
      <c r="H17" s="11" t="str">
        <f aca="false">IFERROR(__xludf.dummyfunction("""COMPUTED_VALUE"""),"Essen")</f>
        <v>Essen</v>
      </c>
      <c r="I17" s="11" t="str">
        <f aca="false">IFERROR(__xludf.dummyfunction("""COMPUTED_VALUE"""),"EVK")</f>
        <v>EVK</v>
      </c>
    </row>
    <row r="18" customFormat="false" ht="18.75" hidden="false" customHeight="true" outlineLevel="0" collapsed="false">
      <c r="A18" s="8" t="n">
        <v>17</v>
      </c>
      <c r="B18" s="11"/>
      <c r="C18" s="13" t="str">
        <f aca="false">IFERROR(__xludf.dummyfunction("""COMPUTED_VALUE"""),"Evotec SE")</f>
        <v>Evotec SE</v>
      </c>
      <c r="D18" s="11" t="str">
        <f aca="false">IFERROR(__xludf.dummyfunction("""COMPUTED_VALUE"""),"Biotechnology")</f>
        <v>Biotechnology</v>
      </c>
      <c r="E18" s="11" t="str">
        <f aca="false">IFERROR(__xludf.dummyfunction("""COMPUTED_VALUE"""),"1,21")</f>
        <v>1,21</v>
      </c>
      <c r="F18" s="11" t="str">
        <f aca="false">IFERROR(__xludf.dummyfunction("""COMPUTED_VALUE"""),"151.228.427")</f>
        <v>151.228.427</v>
      </c>
      <c r="G18" s="11" t="str">
        <f aca="false">IFERROR(__xludf.dummyfunction("""COMPUTED_VALUE"""),"3.110,84")</f>
        <v>3.110,84</v>
      </c>
      <c r="H18" s="11" t="str">
        <f aca="false">IFERROR(__xludf.dummyfunction("""COMPUTED_VALUE"""),"Hamburg")</f>
        <v>Hamburg</v>
      </c>
      <c r="I18" s="11" t="str">
        <f aca="false">IFERROR(__xludf.dummyfunction("""COMPUTED_VALUE"""),"EVT")</f>
        <v>EVT</v>
      </c>
    </row>
    <row r="19" customFormat="false" ht="18.75" hidden="false" customHeight="true" outlineLevel="0" collapsed="false">
      <c r="A19" s="8" t="n">
        <v>18</v>
      </c>
      <c r="B19" s="11"/>
      <c r="C19" s="11" t="str">
        <f aca="false">IFERROR(__xludf.dummyfunction("""COMPUTED_VALUE"""),"Fraport AG")</f>
        <v>Fraport AG</v>
      </c>
      <c r="D19" s="11" t="str">
        <f aca="false">IFERROR(__xludf.dummyfunction("""COMPUTED_VALUE"""),"Airport operator")</f>
        <v>Airport operator</v>
      </c>
      <c r="E19" s="11" t="str">
        <f aca="false">IFERROR(__xludf.dummyfunction("""COMPUTED_VALUE"""),"0,59")</f>
        <v>0,59</v>
      </c>
      <c r="F19" s="11" t="str">
        <f aca="false">IFERROR(__xludf.dummyfunction("""COMPUTED_VALUE"""),"092.468.704")</f>
        <v>092.468.704</v>
      </c>
      <c r="G19" s="11" t="str">
        <f aca="false">IFERROR(__xludf.dummyfunction("""COMPUTED_VALUE"""),"1.520,74")</f>
        <v>1.520,74</v>
      </c>
      <c r="H19" s="11" t="str">
        <f aca="false">IFERROR(__xludf.dummyfunction("""COMPUTED_VALUE"""),"Frankfurt am Main")</f>
        <v>Frankfurt am Main</v>
      </c>
      <c r="I19" s="11" t="str">
        <f aca="false">IFERROR(__xludf.dummyfunction("""COMPUTED_VALUE"""),"FRA")</f>
        <v>FRA</v>
      </c>
    </row>
    <row r="20" customFormat="false" ht="18.75" hidden="false" customHeight="true" outlineLevel="0" collapsed="false">
      <c r="A20" s="8" t="n">
        <v>19</v>
      </c>
      <c r="B20" s="11"/>
      <c r="C20" s="11" t="str">
        <f aca="false">IFERROR(__xludf.dummyfunction("""COMPUTED_VALUE"""),"Freenet AG")</f>
        <v>Freenet AG</v>
      </c>
      <c r="D20" s="11" t="str">
        <f aca="false">IFERROR(__xludf.dummyfunction("""COMPUTED_VALUE"""),"Telecommunications")</f>
        <v>Telecommunications</v>
      </c>
      <c r="E20" s="11" t="str">
        <f aca="false">IFERROR(__xludf.dummyfunction("""COMPUTED_VALUE"""),"0,74")</f>
        <v>0,74</v>
      </c>
      <c r="F20" s="11" t="str">
        <f aca="false">IFERROR(__xludf.dummyfunction("""COMPUTED_VALUE"""),"128.061.016")</f>
        <v>128.061.016</v>
      </c>
      <c r="G20" s="11" t="str">
        <f aca="false">IFERROR(__xludf.dummyfunction("""COMPUTED_VALUE"""),"1.910,67")</f>
        <v>1.910,67</v>
      </c>
      <c r="H20" s="11" t="str">
        <f aca="false">IFERROR(__xludf.dummyfunction("""COMPUTED_VALUE"""),"Büdelsdorf")</f>
        <v>Büdelsdorf</v>
      </c>
      <c r="I20" s="11" t="str">
        <f aca="false">IFERROR(__xludf.dummyfunction("""COMPUTED_VALUE"""),"FNTN")</f>
        <v>FNTN</v>
      </c>
    </row>
    <row r="21" customFormat="false" ht="18.75" hidden="false" customHeight="true" outlineLevel="0" collapsed="false">
      <c r="A21" s="8" t="n">
        <v>20</v>
      </c>
      <c r="B21" s="11"/>
      <c r="C21" s="11" t="str">
        <f aca="false">IFERROR(__xludf.dummyfunction("""COMPUTED_VALUE"""),"Fuchs Petrolub SE")</f>
        <v>Fuchs Petrolub SE</v>
      </c>
      <c r="D21" s="11" t="str">
        <f aca="false">IFERROR(__xludf.dummyfunction("""COMPUTED_VALUE"""),"Chemistry")</f>
        <v>Chemistry</v>
      </c>
      <c r="E21" s="11" t="str">
        <f aca="false">IFERROR(__xludf.dummyfunction("""COMPUTED_VALUE"""),"0,98")</f>
        <v>0,98</v>
      </c>
      <c r="F21" s="11" t="str">
        <f aca="false">IFERROR(__xludf.dummyfunction("""COMPUTED_VALUE"""),"069.500.000")</f>
        <v>069.500.000</v>
      </c>
      <c r="G21" s="11" t="str">
        <f aca="false">IFERROR(__xludf.dummyfunction("""COMPUTED_VALUE"""),"2.538,14")</f>
        <v>2.538,14</v>
      </c>
      <c r="H21" s="11" t="str">
        <f aca="false">IFERROR(__xludf.dummyfunction("""COMPUTED_VALUE"""),"Mannheim")</f>
        <v>Mannheim</v>
      </c>
      <c r="I21" s="11" t="str">
        <f aca="false">IFERROR(__xludf.dummyfunction("""COMPUTED_VALUE"""),"FPE3")</f>
        <v>FPE3</v>
      </c>
    </row>
    <row r="22" customFormat="false" ht="18.75" hidden="false" customHeight="true" outlineLevel="0" collapsed="false">
      <c r="A22" s="8" t="n">
        <v>21</v>
      </c>
      <c r="B22" s="11"/>
      <c r="C22" s="11" t="str">
        <f aca="false">IFERROR(__xludf.dummyfunction("""COMPUTED_VALUE"""),"GEA Group AG")</f>
        <v>GEA Group AG</v>
      </c>
      <c r="D22" s="11" t="str">
        <f aca="false">IFERROR(__xludf.dummyfunction("""COMPUTED_VALUE"""),"Machinery")</f>
        <v>Machinery</v>
      </c>
      <c r="E22" s="11" t="str">
        <f aca="false">IFERROR(__xludf.dummyfunction("""COMPUTED_VALUE"""),"1,66")</f>
        <v>1,66</v>
      </c>
      <c r="F22" s="11" t="str">
        <f aca="false">IFERROR(__xludf.dummyfunction("""COMPUTED_VALUE"""),"180.492.172")</f>
        <v>180.492.172</v>
      </c>
      <c r="G22" s="11" t="str">
        <f aca="false">IFERROR(__xludf.dummyfunction("""COMPUTED_VALUE"""),"4.280,26")</f>
        <v>4.280,26</v>
      </c>
      <c r="H22" s="11" t="str">
        <f aca="false">IFERROR(__xludf.dummyfunction("""COMPUTED_VALUE"""),"Düsseldorf")</f>
        <v>Düsseldorf</v>
      </c>
      <c r="I22" s="11" t="str">
        <f aca="false">IFERROR(__xludf.dummyfunction("""COMPUTED_VALUE"""),"G1A")</f>
        <v>G1A</v>
      </c>
    </row>
    <row r="23" customFormat="false" ht="18.75" hidden="false" customHeight="true" outlineLevel="0" collapsed="false">
      <c r="A23" s="8" t="n">
        <v>22</v>
      </c>
      <c r="B23" s="11"/>
      <c r="C23" s="11" t="str">
        <f aca="false">IFERROR(__xludf.dummyfunction("""COMPUTED_VALUE"""),"Gerresheimer AG")</f>
        <v>Gerresheimer AG</v>
      </c>
      <c r="D23" s="11" t="str">
        <f aca="false">IFERROR(__xludf.dummyfunction("""COMPUTED_VALUE"""),"Packaging")</f>
        <v>Packaging</v>
      </c>
      <c r="E23" s="11" t="str">
        <f aca="false">IFERROR(__xludf.dummyfunction("""COMPUTED_VALUE"""),"0,90")</f>
        <v>0,90</v>
      </c>
      <c r="F23" s="11" t="str">
        <f aca="false">IFERROR(__xludf.dummyfunction("""COMPUTED_VALUE"""),"031.400.000")</f>
        <v>031.400.000</v>
      </c>
      <c r="G23" s="11" t="str">
        <f aca="false">IFERROR(__xludf.dummyfunction("""COMPUTED_VALUE"""),"2.310,38")</f>
        <v>2.310,38</v>
      </c>
      <c r="H23" s="11" t="str">
        <f aca="false">IFERROR(__xludf.dummyfunction("""COMPUTED_VALUE"""),"Düsseldorf")</f>
        <v>Düsseldorf</v>
      </c>
      <c r="I23" s="11" t="str">
        <f aca="false">IFERROR(__xludf.dummyfunction("""COMPUTED_VALUE"""),"GXI")</f>
        <v>GXI</v>
      </c>
    </row>
    <row r="24" customFormat="false" ht="18.75" hidden="false" customHeight="true" outlineLevel="0" collapsed="false">
      <c r="A24" s="8" t="n">
        <v>23</v>
      </c>
      <c r="B24" s="11"/>
      <c r="C24" s="11" t="str">
        <f aca="false">IFERROR(__xludf.dummyfunction("""COMPUTED_VALUE"""),"Grand City Properties S.A.")</f>
        <v>Grand City Properties S.A.</v>
      </c>
      <c r="D24" s="11" t="str">
        <f aca="false">IFERROR(__xludf.dummyfunction("""COMPUTED_VALUE"""),"Real estate")</f>
        <v>Real estate</v>
      </c>
      <c r="E24" s="11" t="str">
        <f aca="false">IFERROR(__xludf.dummyfunction("""COMPUTED_VALUE"""),"0,89")</f>
        <v>0,89</v>
      </c>
      <c r="F24" s="11" t="str">
        <f aca="false">IFERROR(__xludf.dummyfunction("""COMPUTED_VALUE"""),"167.917.771")</f>
        <v>167.917.771</v>
      </c>
      <c r="G24" s="11" t="str">
        <f aca="false">IFERROR(__xludf.dummyfunction("""COMPUTED_VALUE"""),"2.290,71")</f>
        <v>2.290,71</v>
      </c>
      <c r="H24" s="11" t="str">
        <f aca="false">IFERROR(__xludf.dummyfunction("""COMPUTED_VALUE"""),"Luxemburg (Luxemburg)")</f>
        <v>Luxemburg (Luxemburg)</v>
      </c>
      <c r="I24" s="11" t="str">
        <f aca="false">IFERROR(__xludf.dummyfunction("""COMPUTED_VALUE"""),"GYC")</f>
        <v>GYC</v>
      </c>
    </row>
    <row r="25" customFormat="false" ht="18.75" hidden="false" customHeight="true" outlineLevel="0" collapsed="false">
      <c r="A25" s="8" t="n">
        <v>24</v>
      </c>
      <c r="B25" s="11"/>
      <c r="C25" s="11" t="str">
        <f aca="false">IFERROR(__xludf.dummyfunction("""COMPUTED_VALUE"""),"Grenke AG")</f>
        <v>Grenke AG</v>
      </c>
      <c r="D25" s="11" t="str">
        <f aca="false">IFERROR(__xludf.dummyfunction("""COMPUTED_VALUE"""),"Finance")</f>
        <v>Finance</v>
      </c>
      <c r="E25" s="11" t="str">
        <f aca="false">IFERROR(__xludf.dummyfunction("""COMPUTED_VALUE"""),"0,75")</f>
        <v>0,75</v>
      </c>
      <c r="F25" s="11" t="str">
        <f aca="false">IFERROR(__xludf.dummyfunction("""COMPUTED_VALUE"""),"046.353.918")</f>
        <v>046.353.918</v>
      </c>
      <c r="G25" s="11" t="str">
        <f aca="false">IFERROR(__xludf.dummyfunction("""COMPUTED_VALUE"""),"1.939,07")</f>
        <v>1.939,07</v>
      </c>
      <c r="H25" s="11" t="str">
        <f aca="false">IFERROR(__xludf.dummyfunction("""COMPUTED_VALUE"""),"Baden-Baden")</f>
        <v>Baden-Baden</v>
      </c>
      <c r="I25" s="11" t="str">
        <f aca="false">IFERROR(__xludf.dummyfunction("""COMPUTED_VALUE"""),"GLJ")</f>
        <v>GLJ</v>
      </c>
    </row>
    <row r="26" customFormat="false" ht="18.75" hidden="false" customHeight="true" outlineLevel="0" collapsed="false">
      <c r="A26" s="8" t="n">
        <v>25</v>
      </c>
      <c r="B26" s="11"/>
      <c r="C26" s="11" t="str">
        <f aca="false">IFERROR(__xludf.dummyfunction("""COMPUTED_VALUE"""),"Hannover Rückversicherung AG")</f>
        <v>Hannover Rückversicherung AG</v>
      </c>
      <c r="D26" s="11" t="str">
        <f aca="false">IFERROR(__xludf.dummyfunction("""COMPUTED_VALUE"""),"Reinsurance")</f>
        <v>Reinsurance</v>
      </c>
      <c r="E26" s="11" t="str">
        <f aca="false">IFERROR(__xludf.dummyfunction("""COMPUTED_VALUE"""),"3,63")</f>
        <v>3,63</v>
      </c>
      <c r="F26" s="11" t="str">
        <f aca="false">IFERROR(__xludf.dummyfunction("""COMPUTED_VALUE"""),"120.597.134")</f>
        <v>120.597.134</v>
      </c>
      <c r="G26" s="11" t="str">
        <f aca="false">IFERROR(__xludf.dummyfunction("""COMPUTED_VALUE"""),"9.347,16")</f>
        <v>9.347,16</v>
      </c>
      <c r="H26" s="11" t="str">
        <f aca="false">IFERROR(__xludf.dummyfunction("""COMPUTED_VALUE"""),"Hannover")</f>
        <v>Hannover</v>
      </c>
      <c r="I26" s="11" t="str">
        <f aca="false">IFERROR(__xludf.dummyfunction("""COMPUTED_VALUE"""),"HNR1")</f>
        <v>HNR1</v>
      </c>
    </row>
    <row r="27" customFormat="false" ht="18.75" hidden="false" customHeight="true" outlineLevel="0" collapsed="false">
      <c r="A27" s="8" t="n">
        <v>26</v>
      </c>
      <c r="B27" s="11"/>
      <c r="C27" s="11" t="str">
        <f aca="false">IFERROR(__xludf.dummyfunction("""COMPUTED_VALUE"""),"HELLA GmbH &amp; Co. KGaA")</f>
        <v>HELLA GmbH &amp; Co. KGaA</v>
      </c>
      <c r="D27" s="11" t="str">
        <f aca="false">IFERROR(__xludf.dummyfunction("""COMPUTED_VALUE"""),"Automotive")</f>
        <v>Automotive</v>
      </c>
      <c r="E27" s="11" t="str">
        <f aca="false">IFERROR(__xludf.dummyfunction("""COMPUTED_VALUE"""),"0,61")</f>
        <v>0,61</v>
      </c>
      <c r="F27" s="11" t="str">
        <f aca="false">IFERROR(__xludf.dummyfunction("""COMPUTED_VALUE"""),"111.111.112")</f>
        <v>111.111.112</v>
      </c>
      <c r="G27" s="11" t="str">
        <f aca="false">IFERROR(__xludf.dummyfunction("""COMPUTED_VALUE"""),"1.576,00")</f>
        <v>1.576,00</v>
      </c>
      <c r="H27" s="11" t="str">
        <f aca="false">IFERROR(__xludf.dummyfunction("""COMPUTED_VALUE"""),"Lippstadt")</f>
        <v>Lippstadt</v>
      </c>
      <c r="I27" s="11" t="str">
        <f aca="false">IFERROR(__xludf.dummyfunction("""COMPUTED_VALUE"""),"HLE")</f>
        <v>HLE</v>
      </c>
    </row>
    <row r="28" customFormat="false" ht="18.75" hidden="false" customHeight="true" outlineLevel="0" collapsed="false">
      <c r="A28" s="8" t="n">
        <v>27</v>
      </c>
      <c r="B28" s="11"/>
      <c r="C28" s="13" t="str">
        <f aca="false">IFERROR(__xludf.dummyfunction("""COMPUTED_VALUE"""),"HelloFresh SE")</f>
        <v>HelloFresh SE</v>
      </c>
      <c r="D28" s="11" t="str">
        <f aca="false">IFERROR(__xludf.dummyfunction("""COMPUTED_VALUE"""),"Meal kit")</f>
        <v>Meal kit</v>
      </c>
      <c r="E28" s="11" t="str">
        <f aca="false">IFERROR(__xludf.dummyfunction("""COMPUTED_VALUE"""),"2,27")</f>
        <v>2,27</v>
      </c>
      <c r="F28" s="11" t="str">
        <f aca="false">IFERROR(__xludf.dummyfunction("""COMPUTED_VALUE"""),"165.737.182")</f>
        <v>165.737.182</v>
      </c>
      <c r="G28" s="11" t="str">
        <f aca="false">IFERROR(__xludf.dummyfunction("""COMPUTED_VALUE"""),"5.857,18")</f>
        <v>5.857,18</v>
      </c>
      <c r="H28" s="11" t="str">
        <f aca="false">IFERROR(__xludf.dummyfunction("""COMPUTED_VALUE"""),"Berlin")</f>
        <v>Berlin</v>
      </c>
      <c r="I28" s="11" t="str">
        <f aca="false">IFERROR(__xludf.dummyfunction("""COMPUTED_VALUE"""),"HFG")</f>
        <v>HFG</v>
      </c>
    </row>
    <row r="29" customFormat="false" ht="18.75" hidden="false" customHeight="true" outlineLevel="0" collapsed="false">
      <c r="A29" s="8" t="n">
        <v>28</v>
      </c>
      <c r="B29" s="11"/>
      <c r="C29" s="13" t="str">
        <f aca="false">IFERROR(__xludf.dummyfunction("""COMPUTED_VALUE"""),"Hochtief AG")</f>
        <v>Hochtief AG</v>
      </c>
      <c r="D29" s="11" t="str">
        <f aca="false">IFERROR(__xludf.dummyfunction("""COMPUTED_VALUE"""),"Construction")</f>
        <v>Construction</v>
      </c>
      <c r="E29" s="11" t="str">
        <f aca="false">IFERROR(__xludf.dummyfunction("""COMPUTED_VALUE"""),"0,68")</f>
        <v>0,68</v>
      </c>
      <c r="F29" s="11" t="str">
        <f aca="false">IFERROR(__xludf.dummyfunction("""COMPUTED_VALUE"""),"070.646.707")</f>
        <v>070.646.707</v>
      </c>
      <c r="G29" s="11" t="str">
        <f aca="false">IFERROR(__xludf.dummyfunction("""COMPUTED_VALUE"""),"1.748,57")</f>
        <v>1.748,57</v>
      </c>
      <c r="H29" s="11" t="str">
        <f aca="false">IFERROR(__xludf.dummyfunction("""COMPUTED_VALUE"""),"Essen")</f>
        <v>Essen</v>
      </c>
      <c r="I29" s="11" t="str">
        <f aca="false">IFERROR(__xludf.dummyfunction("""COMPUTED_VALUE"""),"HOT")</f>
        <v>HOT</v>
      </c>
    </row>
    <row r="30" customFormat="false" ht="18.75" hidden="false" customHeight="true" outlineLevel="0" collapsed="false">
      <c r="A30" s="8" t="n">
        <v>29</v>
      </c>
      <c r="B30" s="11"/>
      <c r="C30" s="11" t="str">
        <f aca="false">IFERROR(__xludf.dummyfunction("""COMPUTED_VALUE"""),"Hugo Boss AG")</f>
        <v>Hugo Boss AG</v>
      </c>
      <c r="D30" s="11" t="str">
        <f aca="false">IFERROR(__xludf.dummyfunction("""COMPUTED_VALUE"""),"Clothing, Accessories")</f>
        <v>Clothing, Accessories</v>
      </c>
      <c r="E30" s="11" t="str">
        <f aca="false">IFERROR(__xludf.dummyfunction("""COMPUTED_VALUE"""),"0,65")</f>
        <v>0,65</v>
      </c>
      <c r="F30" s="11" t="str">
        <f aca="false">IFERROR(__xludf.dummyfunction("""COMPUTED_VALUE"""),"070.400.000")</f>
        <v>070.400.000</v>
      </c>
      <c r="G30" s="11" t="str">
        <f aca="false">IFERROR(__xludf.dummyfunction("""COMPUTED_VALUE"""),"1.663,48")</f>
        <v>1.663,48</v>
      </c>
      <c r="H30" s="11" t="str">
        <f aca="false">IFERROR(__xludf.dummyfunction("""COMPUTED_VALUE"""),"Metzingen")</f>
        <v>Metzingen</v>
      </c>
      <c r="I30" s="11" t="str">
        <f aca="false">IFERROR(__xludf.dummyfunction("""COMPUTED_VALUE"""),"BOSS")</f>
        <v>BOSS</v>
      </c>
    </row>
    <row r="31" customFormat="false" ht="18.75" hidden="false" customHeight="true" outlineLevel="0" collapsed="false">
      <c r="A31" s="8" t="n">
        <v>30</v>
      </c>
      <c r="B31" s="11"/>
      <c r="C31" s="11" t="str">
        <f aca="false">IFERROR(__xludf.dummyfunction("""COMPUTED_VALUE"""),"K+S AG")</f>
        <v>K+S AG</v>
      </c>
      <c r="D31" s="11" t="str">
        <f aca="false">IFERROR(__xludf.dummyfunction("""COMPUTED_VALUE"""),"Mining (fertilizer and salt)")</f>
        <v>Mining (fertilizer and salt)</v>
      </c>
      <c r="E31" s="11" t="str">
        <f aca="false">IFERROR(__xludf.dummyfunction("""COMPUTED_VALUE"""),"0,46")</f>
        <v>0,46</v>
      </c>
      <c r="F31" s="11" t="str">
        <f aca="false">IFERROR(__xludf.dummyfunction("""COMPUTED_VALUE"""),"191.400.000")</f>
        <v>191.400.000</v>
      </c>
      <c r="G31" s="11" t="str">
        <f aca="false">IFERROR(__xludf.dummyfunction("""COMPUTED_VALUE"""),"1.178,64")</f>
        <v>1.178,64</v>
      </c>
      <c r="H31" s="11" t="str">
        <f aca="false">IFERROR(__xludf.dummyfunction("""COMPUTED_VALUE"""),"Kassel")</f>
        <v>Kassel</v>
      </c>
      <c r="I31" s="11" t="str">
        <f aca="false">IFERROR(__xludf.dummyfunction("""COMPUTED_VALUE"""),"SDF")</f>
        <v>SDF</v>
      </c>
    </row>
    <row r="32" customFormat="false" ht="18.75" hidden="false" customHeight="true" outlineLevel="0" collapsed="false">
      <c r="A32" s="8" t="n">
        <v>31</v>
      </c>
      <c r="B32" s="11"/>
      <c r="C32" s="11" t="str">
        <f aca="false">IFERROR(__xludf.dummyfunction("""COMPUTED_VALUE"""),"Kion Group AG")</f>
        <v>Kion Group AG</v>
      </c>
      <c r="D32" s="11" t="str">
        <f aca="false">IFERROR(__xludf.dummyfunction("""COMPUTED_VALUE"""),"Handling equipment")</f>
        <v>Handling equipment</v>
      </c>
      <c r="E32" s="11" t="str">
        <f aca="false">IFERROR(__xludf.dummyfunction("""COMPUTED_VALUE"""),"1,36")</f>
        <v>1,36</v>
      </c>
      <c r="F32" s="11" t="str">
        <f aca="false">IFERROR(__xludf.dummyfunction("""COMPUTED_VALUE"""),"118.090.000")</f>
        <v>118.090.000</v>
      </c>
      <c r="G32" s="11" t="str">
        <f aca="false">IFERROR(__xludf.dummyfunction("""COMPUTED_VALUE"""),"3.511,93")</f>
        <v>3.511,93</v>
      </c>
      <c r="H32" s="11" t="str">
        <f aca="false">IFERROR(__xludf.dummyfunction("""COMPUTED_VALUE"""),"Frankfurt am Main")</f>
        <v>Frankfurt am Main</v>
      </c>
      <c r="I32" s="11" t="str">
        <f aca="false">IFERROR(__xludf.dummyfunction("""COMPUTED_VALUE"""),"KGX")</f>
        <v>KGX</v>
      </c>
    </row>
    <row r="33" customFormat="false" ht="18.75" hidden="false" customHeight="true" outlineLevel="0" collapsed="false">
      <c r="A33" s="8" t="n">
        <v>32</v>
      </c>
      <c r="B33" s="11"/>
      <c r="C33" s="11" t="str">
        <f aca="false">IFERROR(__xludf.dummyfunction("""COMPUTED_VALUE"""),"Knorr-Bremse AG")</f>
        <v>Knorr-Bremse AG</v>
      </c>
      <c r="D33" s="11" t="str">
        <f aca="false">IFERROR(__xludf.dummyfunction("""COMPUTED_VALUE"""),"Manufacturing")</f>
        <v>Manufacturing</v>
      </c>
      <c r="E33" s="11" t="str">
        <f aca="false">IFERROR(__xludf.dummyfunction("""COMPUTED_VALUE"""),"1,72")</f>
        <v>1,72</v>
      </c>
      <c r="F33" s="11" t="str">
        <f aca="false">IFERROR(__xludf.dummyfunction("""COMPUTED_VALUE"""),"161.200.000")</f>
        <v>161.200.000</v>
      </c>
      <c r="G33" s="11" t="str">
        <f aca="false">IFERROR(__xludf.dummyfunction("""COMPUTED_VALUE"""),"4.423,47")</f>
        <v>4.423,47</v>
      </c>
      <c r="H33" s="11" t="str">
        <f aca="false">IFERROR(__xludf.dummyfunction("""COMPUTED_VALUE"""),"München")</f>
        <v>München</v>
      </c>
      <c r="I33" s="11" t="str">
        <f aca="false">IFERROR(__xludf.dummyfunction("""COMPUTED_VALUE"""),"KBX")</f>
        <v>KBX</v>
      </c>
    </row>
    <row r="34" customFormat="false" ht="18.75" hidden="false" customHeight="true" outlineLevel="0" collapsed="false">
      <c r="A34" s="8" t="n">
        <v>33</v>
      </c>
      <c r="B34" s="11"/>
      <c r="C34" s="11" t="str">
        <f aca="false">IFERROR(__xludf.dummyfunction("""COMPUTED_VALUE"""),"Lanxess AG")</f>
        <v>Lanxess AG</v>
      </c>
      <c r="D34" s="11" t="str">
        <f aca="false">IFERROR(__xludf.dummyfunction("""COMPUTED_VALUE"""),"Chemistry")</f>
        <v>Chemistry</v>
      </c>
      <c r="E34" s="11" t="str">
        <f aca="false">IFERROR(__xludf.dummyfunction("""COMPUTED_VALUE"""),"1,46")</f>
        <v>1,46</v>
      </c>
      <c r="F34" s="11" t="str">
        <f aca="false">IFERROR(__xludf.dummyfunction("""COMPUTED_VALUE"""),"087.447.852")</f>
        <v>087.447.852</v>
      </c>
      <c r="G34" s="11" t="str">
        <f aca="false">IFERROR(__xludf.dummyfunction("""COMPUTED_VALUE"""),"3.765,01")</f>
        <v>3.765,01</v>
      </c>
      <c r="H34" s="11" t="str">
        <f aca="false">IFERROR(__xludf.dummyfunction("""COMPUTED_VALUE"""),"Köln")</f>
        <v>Köln</v>
      </c>
      <c r="I34" s="11" t="str">
        <f aca="false">IFERROR(__xludf.dummyfunction("""COMPUTED_VALUE"""),"LXS")</f>
        <v>LXS</v>
      </c>
    </row>
    <row r="35" customFormat="false" ht="18.75" hidden="false" customHeight="true" outlineLevel="0" collapsed="false">
      <c r="A35" s="8" t="n">
        <v>34</v>
      </c>
      <c r="B35" s="11"/>
      <c r="C35" s="11" t="str">
        <f aca="false">IFERROR(__xludf.dummyfunction("""COMPUTED_VALUE"""),"LEG Immobilien AG")</f>
        <v>LEG Immobilien AG</v>
      </c>
      <c r="D35" s="11" t="str">
        <f aca="false">IFERROR(__xludf.dummyfunction("""COMPUTED_VALUE"""),"Real estate")</f>
        <v>Real estate</v>
      </c>
      <c r="E35" s="11" t="str">
        <f aca="false">IFERROR(__xludf.dummyfunction("""COMPUTED_VALUE"""),"3,25")</f>
        <v>3,25</v>
      </c>
      <c r="F35" s="11" t="str">
        <f aca="false">IFERROR(__xludf.dummyfunction("""COMPUTED_VALUE"""),"069.009.836")</f>
        <v>069.009.836</v>
      </c>
      <c r="G35" s="11" t="str">
        <f aca="false">IFERROR(__xludf.dummyfunction("""COMPUTED_VALUE"""),"8.368,13")</f>
        <v>8.368,13</v>
      </c>
      <c r="H35" s="11" t="str">
        <f aca="false">IFERROR(__xludf.dummyfunction("""COMPUTED_VALUE"""),"Düsseldorf")</f>
        <v>Düsseldorf</v>
      </c>
      <c r="I35" s="11" t="str">
        <f aca="false">IFERROR(__xludf.dummyfunction("""COMPUTED_VALUE"""),"LEG")</f>
        <v>LEG</v>
      </c>
    </row>
    <row r="36" customFormat="false" ht="18.75" hidden="false" customHeight="true" outlineLevel="0" collapsed="false">
      <c r="A36" s="8" t="n">
        <v>35</v>
      </c>
      <c r="B36" s="11"/>
      <c r="C36" s="11" t="str">
        <f aca="false">IFERROR(__xludf.dummyfunction("""COMPUTED_VALUE"""),"Metro AG")</f>
        <v>Metro AG</v>
      </c>
      <c r="D36" s="11" t="str">
        <f aca="false">IFERROR(__xludf.dummyfunction("""COMPUTED_VALUE"""),"Wholesale")</f>
        <v>Wholesale</v>
      </c>
      <c r="E36" s="11" t="str">
        <f aca="false">IFERROR(__xludf.dummyfunction("""COMPUTED_VALUE"""),"0,56")</f>
        <v>0,56</v>
      </c>
      <c r="F36" s="11" t="str">
        <f aca="false">IFERROR(__xludf.dummyfunction("""COMPUTED_VALUE"""),"360.121.736")</f>
        <v>360.121.736</v>
      </c>
      <c r="G36" s="11" t="str">
        <f aca="false">IFERROR(__xludf.dummyfunction("""COMPUTED_VALUE"""),"1.453,05")</f>
        <v>1.453,05</v>
      </c>
      <c r="H36" s="11" t="str">
        <f aca="false">IFERROR(__xludf.dummyfunction("""COMPUTED_VALUE"""),"Düsseldorf")</f>
        <v>Düsseldorf</v>
      </c>
      <c r="I36" s="11" t="str">
        <f aca="false">IFERROR(__xludf.dummyfunction("""COMPUTED_VALUE"""),"B4B")</f>
        <v>B4B</v>
      </c>
    </row>
    <row r="37" customFormat="false" ht="18.75" hidden="false" customHeight="true" outlineLevel="0" collapsed="false">
      <c r="A37" s="8" t="n">
        <v>36</v>
      </c>
      <c r="B37" s="11"/>
      <c r="C37" s="11" t="str">
        <f aca="false">IFERROR(__xludf.dummyfunction("""COMPUTED_VALUE"""),"Morphosys AG")</f>
        <v>Morphosys AG</v>
      </c>
      <c r="D37" s="11" t="str">
        <f aca="false">IFERROR(__xludf.dummyfunction("""COMPUTED_VALUE"""),"Biotechnology")</f>
        <v>Biotechnology</v>
      </c>
      <c r="E37" s="11" t="str">
        <f aca="false">IFERROR(__xludf.dummyfunction("""COMPUTED_VALUE"""),"1,40")</f>
        <v>1,40</v>
      </c>
      <c r="F37" s="11" t="str">
        <f aca="false">IFERROR(__xludf.dummyfunction("""COMPUTED_VALUE"""),"032.890.046")</f>
        <v>032.890.046</v>
      </c>
      <c r="G37" s="11" t="str">
        <f aca="false">IFERROR(__xludf.dummyfunction("""COMPUTED_VALUE"""),"3.614,17")</f>
        <v>3.614,17</v>
      </c>
      <c r="H37" s="11" t="str">
        <f aca="false">IFERROR(__xludf.dummyfunction("""COMPUTED_VALUE"""),"Martinsried")</f>
        <v>Martinsried</v>
      </c>
      <c r="I37" s="11" t="str">
        <f aca="false">IFERROR(__xludf.dummyfunction("""COMPUTED_VALUE"""),"MOR")</f>
        <v>MOR</v>
      </c>
    </row>
    <row r="38" customFormat="false" ht="18.75" hidden="false" customHeight="true" outlineLevel="0" collapsed="false">
      <c r="A38" s="8" t="n">
        <v>37</v>
      </c>
      <c r="B38" s="11"/>
      <c r="C38" s="11" t="str">
        <f aca="false">IFERROR(__xludf.dummyfunction("""COMPUTED_VALUE"""),"Nemetschek SE")</f>
        <v>Nemetschek SE</v>
      </c>
      <c r="D38" s="11" t="str">
        <f aca="false">IFERROR(__xludf.dummyfunction("""COMPUTED_VALUE"""),"Software")</f>
        <v>Software</v>
      </c>
      <c r="E38" s="11" t="str">
        <f aca="false">IFERROR(__xludf.dummyfunction("""COMPUTED_VALUE"""),"1,34")</f>
        <v>1,34</v>
      </c>
      <c r="F38" s="11" t="str">
        <f aca="false">IFERROR(__xludf.dummyfunction("""COMPUTED_VALUE"""),"115.500.000")</f>
        <v>115.500.000</v>
      </c>
      <c r="G38" s="11" t="str">
        <f aca="false">IFERROR(__xludf.dummyfunction("""COMPUTED_VALUE"""),"3.447,22")</f>
        <v>3.447,22</v>
      </c>
      <c r="H38" s="11" t="str">
        <f aca="false">IFERROR(__xludf.dummyfunction("""COMPUTED_VALUE"""),"München")</f>
        <v>München</v>
      </c>
      <c r="I38" s="11" t="str">
        <f aca="false">IFERROR(__xludf.dummyfunction("""COMPUTED_VALUE"""),"NEM")</f>
        <v>NEM</v>
      </c>
    </row>
    <row r="39" customFormat="false" ht="18.75" hidden="false" customHeight="true" outlineLevel="0" collapsed="false">
      <c r="A39" s="8" t="n">
        <v>38</v>
      </c>
      <c r="B39" s="11"/>
      <c r="C39" s="11" t="str">
        <f aca="false">IFERROR(__xludf.dummyfunction("""COMPUTED_VALUE"""),"OSRAM Licht AG")</f>
        <v>OSRAM Licht AG</v>
      </c>
      <c r="D39" s="11" t="str">
        <f aca="false">IFERROR(__xludf.dummyfunction("""COMPUTED_VALUE"""),"Lighting")</f>
        <v>Lighting</v>
      </c>
      <c r="E39" s="11" t="str">
        <f aca="false">IFERROR(__xludf.dummyfunction("""COMPUTED_VALUE"""),"0,61")</f>
        <v>0,61</v>
      </c>
      <c r="F39" s="11" t="str">
        <f aca="false">IFERROR(__xludf.dummyfunction("""COMPUTED_VALUE"""),"096.848.074")</f>
        <v>096.848.074</v>
      </c>
      <c r="G39" s="11" t="str">
        <f aca="false">IFERROR(__xludf.dummyfunction("""COMPUTED_VALUE"""),"1.581,43")</f>
        <v>1.581,43</v>
      </c>
      <c r="H39" s="11" t="str">
        <f aca="false">IFERROR(__xludf.dummyfunction("""COMPUTED_VALUE"""),"München")</f>
        <v>München</v>
      </c>
      <c r="I39" s="11" t="str">
        <f aca="false">IFERROR(__xludf.dummyfunction("""COMPUTED_VALUE"""),"OSR")</f>
        <v>OSR</v>
      </c>
    </row>
    <row r="40" customFormat="false" ht="18.75" hidden="false" customHeight="true" outlineLevel="0" collapsed="false">
      <c r="A40" s="8" t="n">
        <v>39</v>
      </c>
      <c r="B40" s="11"/>
      <c r="C40" s="11" t="str">
        <f aca="false">IFERROR(__xludf.dummyfunction("""COMPUTED_VALUE"""),"ProSiebenSat.1 Media SE")</f>
        <v>ProSiebenSat.1 Media SE</v>
      </c>
      <c r="D40" s="11" t="str">
        <f aca="false">IFERROR(__xludf.dummyfunction("""COMPUTED_VALUE"""),"Media")</f>
        <v>Media</v>
      </c>
      <c r="E40" s="11" t="str">
        <f aca="false">IFERROR(__xludf.dummyfunction("""COMPUTED_VALUE"""),"0,73")</f>
        <v>0,73</v>
      </c>
      <c r="F40" s="11" t="str">
        <f aca="false">IFERROR(__xludf.dummyfunction("""COMPUTED_VALUE"""),"233.000.000")</f>
        <v>233.000.000</v>
      </c>
      <c r="G40" s="11" t="str">
        <f aca="false">IFERROR(__xludf.dummyfunction("""COMPUTED_VALUE"""),"1.893,65")</f>
        <v>1.893,65</v>
      </c>
      <c r="H40" s="11" t="str">
        <f aca="false">IFERROR(__xludf.dummyfunction("""COMPUTED_VALUE"""),"Unterföhring")</f>
        <v>Unterföhring</v>
      </c>
      <c r="I40" s="11" t="str">
        <f aca="false">IFERROR(__xludf.dummyfunction("""COMPUTED_VALUE"""),"PSM")</f>
        <v>PSM</v>
      </c>
    </row>
    <row r="41" customFormat="false" ht="18.75" hidden="false" customHeight="true" outlineLevel="0" collapsed="false">
      <c r="A41" s="8" t="n">
        <v>40</v>
      </c>
      <c r="B41" s="11"/>
      <c r="C41" s="11" t="str">
        <f aca="false">IFERROR(__xludf.dummyfunction("""COMPUTED_VALUE"""),"Puma SE")</f>
        <v>Puma SE</v>
      </c>
      <c r="D41" s="11" t="str">
        <f aca="false">IFERROR(__xludf.dummyfunction("""COMPUTED_VALUE"""),"Sports equipment")</f>
        <v>Sports equipment</v>
      </c>
      <c r="E41" s="11" t="str">
        <f aca="false">IFERROR(__xludf.dummyfunction("""COMPUTED_VALUE"""),"2,20")</f>
        <v>2,20</v>
      </c>
      <c r="F41" s="11" t="str">
        <f aca="false">IFERROR(__xludf.dummyfunction("""COMPUTED_VALUE"""),"150.824.640")</f>
        <v>150.824.640</v>
      </c>
      <c r="G41" s="11" t="str">
        <f aca="false">IFERROR(__xludf.dummyfunction("""COMPUTED_VALUE"""),"5.679,23")</f>
        <v>5.679,23</v>
      </c>
      <c r="H41" s="11" t="str">
        <f aca="false">IFERROR(__xludf.dummyfunction("""COMPUTED_VALUE"""),"Herzogenaurach")</f>
        <v>Herzogenaurach</v>
      </c>
      <c r="I41" s="11" t="str">
        <f aca="false">IFERROR(__xludf.dummyfunction("""COMPUTED_VALUE"""),"PUM")</f>
        <v>PUM</v>
      </c>
    </row>
    <row r="42" customFormat="false" ht="18.75" hidden="false" customHeight="true" outlineLevel="0" collapsed="false">
      <c r="A42" s="8" t="n">
        <v>41</v>
      </c>
      <c r="B42" s="11"/>
      <c r="C42" s="13" t="str">
        <f aca="false">IFERROR(__xludf.dummyfunction("""COMPUTED_VALUE"""),"Qiagen N.V.")</f>
        <v>Qiagen N.V.</v>
      </c>
      <c r="D42" s="11" t="str">
        <f aca="false">IFERROR(__xludf.dummyfunction("""COMPUTED_VALUE"""),"Biotechnology")</f>
        <v>Biotechnology</v>
      </c>
      <c r="E42" s="11" t="str">
        <f aca="false">IFERROR(__xludf.dummyfunction("""COMPUTED_VALUE"""),"3,37")</f>
        <v>3,37</v>
      </c>
      <c r="F42" s="11" t="str">
        <f aca="false">IFERROR(__xludf.dummyfunction("""COMPUTED_VALUE"""),"230.829.218")</f>
        <v>230.829.218</v>
      </c>
      <c r="G42" s="11" t="str">
        <f aca="false">IFERROR(__xludf.dummyfunction("""COMPUTED_VALUE"""),"8.684,30")</f>
        <v>8.684,30</v>
      </c>
      <c r="H42" s="11" t="str">
        <f aca="false">IFERROR(__xludf.dummyfunction("""COMPUTED_VALUE"""),"Venlo (Netherlands)")</f>
        <v>Venlo (Netherlands)</v>
      </c>
      <c r="I42" s="11" t="str">
        <f aca="false">IFERROR(__xludf.dummyfunction("""COMPUTED_VALUE"""),"QGEN")</f>
        <v>QGEN</v>
      </c>
    </row>
    <row r="43" customFormat="false" ht="18.75" hidden="false" customHeight="true" outlineLevel="0" collapsed="false">
      <c r="A43" s="8" t="n">
        <v>42</v>
      </c>
      <c r="B43" s="11"/>
      <c r="C43" s="11" t="str">
        <f aca="false">IFERROR(__xludf.dummyfunction("""COMPUTED_VALUE"""),"Rational AG")</f>
        <v>Rational AG</v>
      </c>
      <c r="D43" s="11" t="str">
        <f aca="false">IFERROR(__xludf.dummyfunction("""COMPUTED_VALUE"""),"Manufacturing")</f>
        <v>Manufacturing</v>
      </c>
      <c r="E43" s="11" t="str">
        <f aca="false">IFERROR(__xludf.dummyfunction("""COMPUTED_VALUE"""),"0,76")</f>
        <v>0,76</v>
      </c>
      <c r="F43" s="11" t="str">
        <f aca="false">IFERROR(__xludf.dummyfunction("""COMPUTED_VALUE"""),"011.370.000")</f>
        <v>011.370.000</v>
      </c>
      <c r="G43" s="11" t="str">
        <f aca="false">IFERROR(__xludf.dummyfunction("""COMPUTED_VALUE"""),"1.965,35")</f>
        <v>1.965,35</v>
      </c>
      <c r="H43" s="11" t="str">
        <f aca="false">IFERROR(__xludf.dummyfunction("""COMPUTED_VALUE"""),"Landsberg am Lech")</f>
        <v>Landsberg am Lech</v>
      </c>
      <c r="I43" s="11" t="str">
        <f aca="false">IFERROR(__xludf.dummyfunction("""COMPUTED_VALUE"""),"RAA")</f>
        <v>RAA</v>
      </c>
    </row>
    <row r="44" customFormat="false" ht="18.75" hidden="false" customHeight="true" outlineLevel="0" collapsed="false">
      <c r="A44" s="8" t="n">
        <v>43</v>
      </c>
      <c r="B44" s="11"/>
      <c r="C44" s="11" t="str">
        <f aca="false">IFERROR(__xludf.dummyfunction("""COMPUTED_VALUE"""),"Rheinmetall AG")</f>
        <v>Rheinmetall AG</v>
      </c>
      <c r="D44" s="11" t="str">
        <f aca="false">IFERROR(__xludf.dummyfunction("""COMPUTED_VALUE"""),"Defence")</f>
        <v>Defence</v>
      </c>
      <c r="E44" s="11" t="str">
        <f aca="false">IFERROR(__xludf.dummyfunction("""COMPUTED_VALUE"""),"1,28")</f>
        <v>1,28</v>
      </c>
      <c r="F44" s="11" t="str">
        <f aca="false">IFERROR(__xludf.dummyfunction("""COMPUTED_VALUE"""),"043.558.850")</f>
        <v>043.558.850</v>
      </c>
      <c r="G44" s="11" t="str">
        <f aca="false">IFERROR(__xludf.dummyfunction("""COMPUTED_VALUE"""),"3.307,13")</f>
        <v>3.307,13</v>
      </c>
      <c r="H44" s="11" t="str">
        <f aca="false">IFERROR(__xludf.dummyfunction("""COMPUTED_VALUE"""),"Düsseldorf")</f>
        <v>Düsseldorf</v>
      </c>
      <c r="I44" s="11" t="str">
        <f aca="false">IFERROR(__xludf.dummyfunction("""COMPUTED_VALUE"""),"RHM")</f>
        <v>RHM</v>
      </c>
    </row>
    <row r="45" customFormat="false" ht="18.75" hidden="false" customHeight="true" outlineLevel="0" collapsed="false">
      <c r="A45" s="8" t="n">
        <v>44</v>
      </c>
      <c r="B45" s="11"/>
      <c r="C45" s="11" t="str">
        <f aca="false">IFERROR(__xludf.dummyfunction("""COMPUTED_VALUE"""),"Rocket Internet SE")</f>
        <v>Rocket Internet SE</v>
      </c>
      <c r="D45" s="11" t="str">
        <f aca="false">IFERROR(__xludf.dummyfunction("""COMPUTED_VALUE"""),"Venture capital")</f>
        <v>Venture capital</v>
      </c>
      <c r="E45" s="11" t="str">
        <f aca="false">IFERROR(__xludf.dummyfunction("""COMPUTED_VALUE"""),"0,54")</f>
        <v>0,54</v>
      </c>
      <c r="F45" s="11" t="str">
        <f aca="false">IFERROR(__xludf.dummyfunction("""COMPUTED_VALUE"""),"137.262.959")</f>
        <v>137.262.959</v>
      </c>
      <c r="G45" s="11" t="str">
        <f aca="false">IFERROR(__xludf.dummyfunction("""COMPUTED_VALUE"""),"1.383,82")</f>
        <v>1.383,82</v>
      </c>
      <c r="H45" s="11" t="str">
        <f aca="false">IFERROR(__xludf.dummyfunction("""COMPUTED_VALUE"""),"Berlin")</f>
        <v>Berlin</v>
      </c>
      <c r="I45" s="11" t="str">
        <f aca="false">IFERROR(__xludf.dummyfunction("""COMPUTED_VALUE"""),"RKET")</f>
        <v>RKET</v>
      </c>
    </row>
    <row r="46" customFormat="false" ht="18.75" hidden="false" customHeight="true" outlineLevel="0" collapsed="false">
      <c r="A46" s="8" t="n">
        <v>45</v>
      </c>
      <c r="B46" s="11"/>
      <c r="C46" s="11" t="str">
        <f aca="false">IFERROR(__xludf.dummyfunction("""COMPUTED_VALUE"""),"RTL Group SA")</f>
        <v>RTL Group SA</v>
      </c>
      <c r="D46" s="11" t="str">
        <f aca="false">IFERROR(__xludf.dummyfunction("""COMPUTED_VALUE"""),"Media")</f>
        <v>Media</v>
      </c>
      <c r="E46" s="11" t="str">
        <f aca="false">IFERROR(__xludf.dummyfunction("""COMPUTED_VALUE"""),"0,40")</f>
        <v>0,40</v>
      </c>
      <c r="F46" s="11" t="str">
        <f aca="false">IFERROR(__xludf.dummyfunction("""COMPUTED_VALUE"""),"154.742.806")</f>
        <v>154.742.806</v>
      </c>
      <c r="G46" s="11" t="str">
        <f aca="false">IFERROR(__xludf.dummyfunction("""COMPUTED_VALUE"""),"1.043,46")</f>
        <v>1.043,46</v>
      </c>
      <c r="H46" s="11" t="str">
        <f aca="false">IFERROR(__xludf.dummyfunction("""COMPUTED_VALUE"""),"Luxemburg (Luxemburg)")</f>
        <v>Luxemburg (Luxemburg)</v>
      </c>
      <c r="I46" s="11" t="str">
        <f aca="false">IFERROR(__xludf.dummyfunction("""COMPUTED_VALUE"""),"RRTL")</f>
        <v>RRTL</v>
      </c>
    </row>
    <row r="47" customFormat="false" ht="18.75" hidden="false" customHeight="true" outlineLevel="0" collapsed="false">
      <c r="A47" s="8" t="n">
        <v>46</v>
      </c>
      <c r="B47" s="11"/>
      <c r="C47" s="11" t="str">
        <f aca="false">IFERROR(__xludf.dummyfunction("""COMPUTED_VALUE"""),"Sartorius AG")</f>
        <v>Sartorius AG</v>
      </c>
      <c r="D47" s="11" t="str">
        <f aca="false">IFERROR(__xludf.dummyfunction("""COMPUTED_VALUE"""),"Pharmaceutical and laboratory equipment")</f>
        <v>Pharmaceutical and laboratory equipment</v>
      </c>
      <c r="E47" s="11" t="str">
        <f aca="false">IFERROR(__xludf.dummyfunction("""COMPUTED_VALUE"""),"3,88")</f>
        <v>3,88</v>
      </c>
      <c r="F47" s="11" t="str">
        <f aca="false">IFERROR(__xludf.dummyfunction("""COMPUTED_VALUE"""),"037.440.000")</f>
        <v>037.440.000</v>
      </c>
      <c r="G47" s="11" t="str">
        <f aca="false">IFERROR(__xludf.dummyfunction("""COMPUTED_VALUE"""),"9.999,67")</f>
        <v>9.999,67</v>
      </c>
      <c r="H47" s="11" t="str">
        <f aca="false">IFERROR(__xludf.dummyfunction("""COMPUTED_VALUE"""),"Göttingen")</f>
        <v>Göttingen</v>
      </c>
      <c r="I47" s="11" t="str">
        <f aca="false">IFERROR(__xludf.dummyfunction("""COMPUTED_VALUE"""),"SRT")</f>
        <v>SRT</v>
      </c>
    </row>
    <row r="48" customFormat="false" ht="18.75" hidden="false" customHeight="true" outlineLevel="0" collapsed="false">
      <c r="A48" s="8" t="n">
        <v>47</v>
      </c>
      <c r="B48" s="11"/>
      <c r="C48" s="11" t="str">
        <f aca="false">IFERROR(__xludf.dummyfunction("""COMPUTED_VALUE"""),"Scout24 AG")</f>
        <v>Scout24 AG</v>
      </c>
      <c r="D48" s="11" t="str">
        <f aca="false">IFERROR(__xludf.dummyfunction("""COMPUTED_VALUE"""),"Online-market")</f>
        <v>Online-market</v>
      </c>
      <c r="E48" s="11" t="str">
        <f aca="false">IFERROR(__xludf.dummyfunction("""COMPUTED_VALUE"""),"2,85")</f>
        <v>2,85</v>
      </c>
      <c r="F48" s="11" t="str">
        <f aca="false">IFERROR(__xludf.dummyfunction("""COMPUTED_VALUE"""),"107.600.000")</f>
        <v>107.600.000</v>
      </c>
      <c r="G48" s="11" t="str">
        <f aca="false">IFERROR(__xludf.dummyfunction("""COMPUTED_VALUE"""),"7.357,13")</f>
        <v>7.357,13</v>
      </c>
      <c r="H48" s="11" t="str">
        <f aca="false">IFERROR(__xludf.dummyfunction("""COMPUTED_VALUE"""),"München")</f>
        <v>München</v>
      </c>
      <c r="I48" s="11" t="str">
        <f aca="false">IFERROR(__xludf.dummyfunction("""COMPUTED_VALUE"""),"G24")</f>
        <v>G24</v>
      </c>
    </row>
    <row r="49" customFormat="false" ht="18.75" hidden="false" customHeight="true" outlineLevel="0" collapsed="false">
      <c r="A49" s="8" t="n">
        <v>48</v>
      </c>
      <c r="B49" s="11"/>
      <c r="C49" s="11" t="str">
        <f aca="false">IFERROR(__xludf.dummyfunction("""COMPUTED_VALUE"""),"Siemens Healthineers AG")</f>
        <v>Siemens Healthineers AG</v>
      </c>
      <c r="D49" s="11" t="str">
        <f aca="false">IFERROR(__xludf.dummyfunction("""COMPUTED_VALUE"""),"Medical technology")</f>
        <v>Medical technology</v>
      </c>
      <c r="E49" s="11" t="str">
        <f aca="false">IFERROR(__xludf.dummyfunction("""COMPUTED_VALUE"""),"2,53")</f>
        <v>2,53</v>
      </c>
      <c r="F49" s="11" t="str">
        <f aca="false">IFERROR(__xludf.dummyfunction("""COMPUTED_VALUE"""),"1.000.000.000")</f>
        <v>1.000.000.000</v>
      </c>
      <c r="G49" s="11" t="str">
        <f aca="false">IFERROR(__xludf.dummyfunction("""COMPUTED_VALUE"""),"6.514,13")</f>
        <v>6.514,13</v>
      </c>
      <c r="H49" s="11" t="str">
        <f aca="false">IFERROR(__xludf.dummyfunction("""COMPUTED_VALUE"""),"Erlangen")</f>
        <v>Erlangen</v>
      </c>
      <c r="I49" s="11" t="str">
        <f aca="false">IFERROR(__xludf.dummyfunction("""COMPUTED_VALUE"""),"SHL")</f>
        <v>SHL</v>
      </c>
    </row>
    <row r="50" customFormat="false" ht="18.75" hidden="false" customHeight="true" outlineLevel="0" collapsed="false">
      <c r="A50" s="8" t="n">
        <v>49</v>
      </c>
      <c r="B50" s="11"/>
      <c r="C50" s="11" t="str">
        <f aca="false">IFERROR(__xludf.dummyfunction("""COMPUTED_VALUE"""),"Siltronic AG")</f>
        <v>Siltronic AG</v>
      </c>
      <c r="D50" s="11" t="str">
        <f aca="false">IFERROR(__xludf.dummyfunction("""COMPUTED_VALUE"""),"Semiconductor industry")</f>
        <v>Semiconductor industry</v>
      </c>
      <c r="E50" s="11" t="str">
        <f aca="false">IFERROR(__xludf.dummyfunction("""COMPUTED_VALUE"""),"0,73")</f>
        <v>0,73</v>
      </c>
      <c r="F50" s="11" t="str">
        <f aca="false">IFERROR(__xludf.dummyfunction("""COMPUTED_VALUE"""),"030.000.000")</f>
        <v>030.000.000</v>
      </c>
      <c r="G50" s="11" t="str">
        <f aca="false">IFERROR(__xludf.dummyfunction("""COMPUTED_VALUE"""),"1.873,82")</f>
        <v>1.873,82</v>
      </c>
      <c r="H50" s="11" t="str">
        <f aca="false">IFERROR(__xludf.dummyfunction("""COMPUTED_VALUE"""),"München")</f>
        <v>München</v>
      </c>
      <c r="I50" s="11" t="str">
        <f aca="false">IFERROR(__xludf.dummyfunction("""COMPUTED_VALUE"""),"WAF")</f>
        <v>WAF</v>
      </c>
    </row>
    <row r="51" customFormat="false" ht="18.75" hidden="false" customHeight="true" outlineLevel="0" collapsed="false">
      <c r="A51" s="8" t="n">
        <v>50</v>
      </c>
      <c r="B51" s="11"/>
      <c r="C51" s="11" t="str">
        <f aca="false">IFERROR(__xludf.dummyfunction("""COMPUTED_VALUE"""),"Software AG")</f>
        <v>Software AG</v>
      </c>
      <c r="D51" s="11" t="str">
        <f aca="false">IFERROR(__xludf.dummyfunction("""COMPUTED_VALUE"""),"Software")</f>
        <v>Software</v>
      </c>
      <c r="E51" s="11" t="str">
        <f aca="false">IFERROR(__xludf.dummyfunction("""COMPUTED_VALUE"""),"0,67")</f>
        <v>0,67</v>
      </c>
      <c r="F51" s="11" t="str">
        <f aca="false">IFERROR(__xludf.dummyfunction("""COMPUTED_VALUE"""),"074.000.000")</f>
        <v>074.000.000</v>
      </c>
      <c r="G51" s="11" t="str">
        <f aca="false">IFERROR(__xludf.dummyfunction("""COMPUTED_VALUE"""),"1.726,40")</f>
        <v>1.726,40</v>
      </c>
      <c r="H51" s="11" t="str">
        <f aca="false">IFERROR(__xludf.dummyfunction("""COMPUTED_VALUE"""),"Darmstadt")</f>
        <v>Darmstadt</v>
      </c>
      <c r="I51" s="11" t="str">
        <f aca="false">IFERROR(__xludf.dummyfunction("""COMPUTED_VALUE"""),"SOW")</f>
        <v>SOW</v>
      </c>
    </row>
    <row r="52" customFormat="false" ht="18.75" hidden="false" customHeight="true" outlineLevel="0" collapsed="false">
      <c r="A52" s="8" t="n">
        <v>51</v>
      </c>
      <c r="B52" s="11"/>
      <c r="C52" s="11" t="str">
        <f aca="false">IFERROR(__xludf.dummyfunction("""COMPUTED_VALUE"""),"Ströer SE &amp; Co. KGaA")</f>
        <v>Ströer SE &amp; Co. KGaA</v>
      </c>
      <c r="D52" s="11" t="str">
        <f aca="false">IFERROR(__xludf.dummyfunction("""COMPUTED_VALUE"""),"Media, out-of-home advertising")</f>
        <v>Media, out-of-home advertising</v>
      </c>
      <c r="E52" s="11"/>
      <c r="F52" s="11"/>
      <c r="G52" s="11"/>
      <c r="H52" s="11" t="str">
        <f aca="false">IFERROR(__xludf.dummyfunction("""COMPUTED_VALUE"""),"Köln")</f>
        <v>Köln</v>
      </c>
      <c r="I52" s="11" t="str">
        <f aca="false">IFERROR(__xludf.dummyfunction("""COMPUTED_VALUE"""),"SAX")</f>
        <v>SAX</v>
      </c>
    </row>
    <row r="53" customFormat="false" ht="18.75" hidden="false" customHeight="true" outlineLevel="0" collapsed="false">
      <c r="A53" s="8" t="n">
        <v>52</v>
      </c>
      <c r="B53" s="11"/>
      <c r="C53" s="11" t="str">
        <f aca="false">IFERROR(__xludf.dummyfunction("""COMPUTED_VALUE"""),"Symrise AG")</f>
        <v>Symrise AG</v>
      </c>
      <c r="D53" s="11" t="str">
        <f aca="false">IFERROR(__xludf.dummyfunction("""COMPUTED_VALUE"""),"Chemistry")</f>
        <v>Chemistry</v>
      </c>
      <c r="E53" s="11" t="str">
        <f aca="false">IFERROR(__xludf.dummyfunction("""COMPUTED_VALUE"""),"4,96")</f>
        <v>4,96</v>
      </c>
      <c r="F53" s="11" t="str">
        <f aca="false">IFERROR(__xludf.dummyfunction("""COMPUTED_VALUE"""),"135.426.610")</f>
        <v>135.426.610</v>
      </c>
      <c r="G53" s="11" t="str">
        <f aca="false">IFERROR(__xludf.dummyfunction("""COMPUTED_VALUE"""),"12.791,96")</f>
        <v>12.791,96</v>
      </c>
      <c r="H53" s="11" t="str">
        <f aca="false">IFERROR(__xludf.dummyfunction("""COMPUTED_VALUE"""),"Holzminden")</f>
        <v>Holzminden</v>
      </c>
      <c r="I53" s="11" t="str">
        <f aca="false">IFERROR(__xludf.dummyfunction("""COMPUTED_VALUE"""),"SY1")</f>
        <v>SY1</v>
      </c>
    </row>
    <row r="54" customFormat="false" ht="18.75" hidden="false" customHeight="true" outlineLevel="0" collapsed="false">
      <c r="A54" s="8" t="n">
        <v>53</v>
      </c>
      <c r="B54" s="11"/>
      <c r="C54" s="13" t="str">
        <f aca="false">IFERROR(__xludf.dummyfunction("""COMPUTED_VALUE"""),"TAG Immobilien AG")</f>
        <v>TAG Immobilien AG</v>
      </c>
      <c r="D54" s="11" t="str">
        <f aca="false">IFERROR(__xludf.dummyfunction("""COMPUTED_VALUE"""),"Real estate")</f>
        <v>Real estate</v>
      </c>
      <c r="E54" s="11" t="str">
        <f aca="false">IFERROR(__xludf.dummyfunction("""COMPUTED_VALUE"""),"1,26")</f>
        <v>1,26</v>
      </c>
      <c r="F54" s="11" t="str">
        <f aca="false">IFERROR(__xludf.dummyfunction("""COMPUTED_VALUE"""),"146.498.765")</f>
        <v>146.498.765</v>
      </c>
      <c r="G54" s="11" t="str">
        <f aca="false">IFERROR(__xludf.dummyfunction("""COMPUTED_VALUE"""),"3.240,55")</f>
        <v>3.240,55</v>
      </c>
      <c r="H54" s="11" t="str">
        <f aca="false">IFERROR(__xludf.dummyfunction("""COMPUTED_VALUE"""),"Hamburg")</f>
        <v>Hamburg</v>
      </c>
      <c r="I54" s="11" t="str">
        <f aca="false">IFERROR(__xludf.dummyfunction("""COMPUTED_VALUE"""),"TEG")</f>
        <v>TEG</v>
      </c>
    </row>
    <row r="55" customFormat="false" ht="18.75" hidden="false" customHeight="true" outlineLevel="0" collapsed="false">
      <c r="A55" s="8" t="n">
        <v>54</v>
      </c>
      <c r="B55" s="11"/>
      <c r="C55" s="11" t="str">
        <f aca="false">IFERROR(__xludf.dummyfunction("""COMPUTED_VALUE"""),"TeamViewer AG")</f>
        <v>TeamViewer AG</v>
      </c>
      <c r="D55" s="11" t="str">
        <f aca="false">IFERROR(__xludf.dummyfunction("""COMPUTED_VALUE"""),"Software")</f>
        <v>Software</v>
      </c>
      <c r="E55" s="11" t="str">
        <f aca="false">IFERROR(__xludf.dummyfunction("""COMPUTED_VALUE"""),"1,79")</f>
        <v>1,79</v>
      </c>
      <c r="F55" s="11" t="str">
        <f aca="false">IFERROR(__xludf.dummyfunction("""COMPUTED_VALUE"""),"200.000.000")</f>
        <v>200.000.000</v>
      </c>
      <c r="G55" s="11" t="str">
        <f aca="false">IFERROR(__xludf.dummyfunction("""COMPUTED_VALUE"""),"4.601,68")</f>
        <v>4.601,68</v>
      </c>
      <c r="H55" s="11" t="str">
        <f aca="false">IFERROR(__xludf.dummyfunction("""COMPUTED_VALUE"""),"Göppingen")</f>
        <v>Göppingen</v>
      </c>
      <c r="I55" s="11" t="str">
        <f aca="false">IFERROR(__xludf.dummyfunction("""COMPUTED_VALUE"""),"TMV")</f>
        <v>TMV</v>
      </c>
    </row>
    <row r="56" customFormat="false" ht="18.75" hidden="false" customHeight="true" outlineLevel="0" collapsed="false">
      <c r="A56" s="8" t="n">
        <v>55</v>
      </c>
      <c r="B56" s="11"/>
      <c r="C56" s="11" t="str">
        <f aca="false">IFERROR(__xludf.dummyfunction("""COMPUTED_VALUE"""),"Telefónica Deutschland Holding AG")</f>
        <v>Telefónica Deutschland Holding AG</v>
      </c>
      <c r="D56" s="11" t="str">
        <f aca="false">IFERROR(__xludf.dummyfunction("""COMPUTED_VALUE"""),"Telecommunications")</f>
        <v>Telecommunications</v>
      </c>
      <c r="E56" s="11" t="str">
        <f aca="false">IFERROR(__xludf.dummyfunction("""COMPUTED_VALUE"""),"0,96")</f>
        <v>0,96</v>
      </c>
      <c r="F56" s="11" t="str">
        <f aca="false">IFERROR(__xludf.dummyfunction("""COMPUTED_VALUE"""),"2.974.554.993")</f>
        <v>2.974.554.993</v>
      </c>
      <c r="G56" s="11" t="str">
        <f aca="false">IFERROR(__xludf.dummyfunction("""COMPUTED_VALUE"""),"2.473,86")</f>
        <v>2.473,86</v>
      </c>
      <c r="H56" s="11" t="str">
        <f aca="false">IFERROR(__xludf.dummyfunction("""COMPUTED_VALUE"""),"München")</f>
        <v>München</v>
      </c>
      <c r="I56" s="11" t="str">
        <f aca="false">IFERROR(__xludf.dummyfunction("""COMPUTED_VALUE"""),"O2D")</f>
        <v>O2D</v>
      </c>
    </row>
    <row r="57" customFormat="false" ht="18.75" hidden="false" customHeight="true" outlineLevel="0" collapsed="false">
      <c r="A57" s="8" t="n">
        <v>56</v>
      </c>
      <c r="B57" s="11"/>
      <c r="C57" s="11" t="str">
        <f aca="false">IFERROR(__xludf.dummyfunction("""COMPUTED_VALUE"""),"Thyssenkrupp AG")</f>
        <v>Thyssenkrupp AG</v>
      </c>
      <c r="D57" s="11" t="str">
        <f aca="false">IFERROR(__xludf.dummyfunction("""COMPUTED_VALUE"""),"Conglomerate")</f>
        <v>Conglomerate</v>
      </c>
      <c r="E57" s="11" t="str">
        <f aca="false">IFERROR(__xludf.dummyfunction("""COMPUTED_VALUE"""),"1,32")</f>
        <v>1,32</v>
      </c>
      <c r="F57" s="11" t="str">
        <f aca="false">IFERROR(__xludf.dummyfunction("""COMPUTED_VALUE"""),"622.531.741")</f>
        <v>622.531.741</v>
      </c>
      <c r="G57" s="11" t="str">
        <f aca="false">IFERROR(__xludf.dummyfunction("""COMPUTED_VALUE"""),"3.397,41")</f>
        <v>3.397,41</v>
      </c>
      <c r="H57" s="11" t="str">
        <f aca="false">IFERROR(__xludf.dummyfunction("""COMPUTED_VALUE"""),"Essen and Duisburg")</f>
        <v>Essen and Duisburg</v>
      </c>
      <c r="I57" s="11" t="str">
        <f aca="false">IFERROR(__xludf.dummyfunction("""COMPUTED_VALUE"""),"TKA")</f>
        <v>TKA</v>
      </c>
    </row>
    <row r="58" customFormat="false" ht="18.75" hidden="false" customHeight="true" outlineLevel="0" collapsed="false">
      <c r="A58" s="8" t="n">
        <v>57</v>
      </c>
      <c r="B58" s="11"/>
      <c r="C58" s="11" t="str">
        <f aca="false">IFERROR(__xludf.dummyfunction("""COMPUTED_VALUE"""),"Uniper SE")</f>
        <v>Uniper SE</v>
      </c>
      <c r="D58" s="11" t="str">
        <f aca="false">IFERROR(__xludf.dummyfunction("""COMPUTED_VALUE"""),"Electric utility")</f>
        <v>Electric utility</v>
      </c>
      <c r="E58" s="11" t="str">
        <f aca="false">IFERROR(__xludf.dummyfunction("""COMPUTED_VALUE"""),"1,79")</f>
        <v>1,79</v>
      </c>
      <c r="F58" s="11" t="str">
        <f aca="false">IFERROR(__xludf.dummyfunction("""COMPUTED_VALUE"""),"365.960.000")</f>
        <v>365.960.000</v>
      </c>
      <c r="G58" s="11" t="str">
        <f aca="false">IFERROR(__xludf.dummyfunction("""COMPUTED_VALUE"""),"4.616,55")</f>
        <v>4.616,55</v>
      </c>
      <c r="H58" s="11" t="str">
        <f aca="false">IFERROR(__xludf.dummyfunction("""COMPUTED_VALUE"""),"Düsseldorf")</f>
        <v>Düsseldorf</v>
      </c>
      <c r="I58" s="11" t="str">
        <f aca="false">IFERROR(__xludf.dummyfunction("""COMPUTED_VALUE"""),"UN01")</f>
        <v>UN01</v>
      </c>
    </row>
    <row r="59" customFormat="false" ht="18.75" hidden="false" customHeight="true" outlineLevel="0" collapsed="false">
      <c r="A59" s="8" t="n">
        <v>58</v>
      </c>
      <c r="B59" s="11"/>
      <c r="C59" s="11" t="str">
        <f aca="false">IFERROR(__xludf.dummyfunction("""COMPUTED_VALUE"""),"United Internet AG")</f>
        <v>United Internet AG</v>
      </c>
      <c r="D59" s="11" t="str">
        <f aca="false">IFERROR(__xludf.dummyfunction("""COMPUTED_VALUE"""),"Telecommunications")</f>
        <v>Telecommunications</v>
      </c>
      <c r="E59" s="11" t="str">
        <f aca="false">IFERROR(__xludf.dummyfunction("""COMPUTED_VALUE"""),"1,52")</f>
        <v>1,52</v>
      </c>
      <c r="F59" s="11" t="str">
        <f aca="false">IFERROR(__xludf.dummyfunction("""COMPUTED_VALUE"""),"194.000.000")</f>
        <v>194.000.000</v>
      </c>
      <c r="G59" s="11" t="str">
        <f aca="false">IFERROR(__xludf.dummyfunction("""COMPUTED_VALUE"""),"3.914,33")</f>
        <v>3.914,33</v>
      </c>
      <c r="H59" s="11" t="str">
        <f aca="false">IFERROR(__xludf.dummyfunction("""COMPUTED_VALUE"""),"Montabaur")</f>
        <v>Montabaur</v>
      </c>
      <c r="I59" s="11" t="str">
        <f aca="false">IFERROR(__xludf.dummyfunction("""COMPUTED_VALUE"""),"UTDI")</f>
        <v>UTDI</v>
      </c>
    </row>
    <row r="60" customFormat="false" ht="18.75" hidden="false" customHeight="true" outlineLevel="0" collapsed="false">
      <c r="A60" s="8" t="n">
        <v>59</v>
      </c>
      <c r="B60" s="11"/>
      <c r="C60" s="11" t="str">
        <f aca="false">IFERROR(__xludf.dummyfunction("""COMPUTED_VALUE"""),"Varta AG")</f>
        <v>Varta AG</v>
      </c>
      <c r="D60" s="11" t="str">
        <f aca="false">IFERROR(__xludf.dummyfunction("""COMPUTED_VALUE"""),"Electrical equipment")</f>
        <v>Electrical equipment</v>
      </c>
      <c r="E60" s="11"/>
      <c r="F60" s="11"/>
      <c r="G60" s="11"/>
      <c r="H60" s="11" t="str">
        <f aca="false">IFERROR(__xludf.dummyfunction("""COMPUTED_VALUE"""),"Ellwangen")</f>
        <v>Ellwangen</v>
      </c>
      <c r="I60" s="11" t="str">
        <f aca="false">IFERROR(__xludf.dummyfunction("""COMPUTED_VALUE"""),"VAR1")</f>
        <v>VAR1</v>
      </c>
    </row>
    <row r="61" customFormat="false" ht="18.75" hidden="false" customHeight="true" outlineLevel="0" collapsed="false">
      <c r="A61" s="8" t="n">
        <v>60</v>
      </c>
      <c r="B61" s="11"/>
      <c r="C61" s="11" t="str">
        <f aca="false">IFERROR(__xludf.dummyfunction("""COMPUTED_VALUE"""),"Zalando SE")</f>
        <v>Zalando SE</v>
      </c>
      <c r="D61" s="11" t="str">
        <f aca="false">IFERROR(__xludf.dummyfunction("""COMPUTED_VALUE"""),"Online retailing")</f>
        <v>Online retailing</v>
      </c>
      <c r="E61" s="11" t="str">
        <f aca="false">IFERROR(__xludf.dummyfunction("""COMPUTED_VALUE"""),"3,94")</f>
        <v>3,94</v>
      </c>
      <c r="F61" s="11" t="str">
        <f aca="false">IFERROR(__xludf.dummyfunction("""COMPUTED_VALUE"""),"252.848.768")</f>
        <v>252.848.768</v>
      </c>
      <c r="G61" s="11" t="str">
        <f aca="false">IFERROR(__xludf.dummyfunction("""COMPUTED_VALUE"""),"10.154,47")</f>
        <v>10.154,47</v>
      </c>
      <c r="H61" s="11" t="str">
        <f aca="false">IFERROR(__xludf.dummyfunction("""COMPUTED_VALUE"""),"Berlin")</f>
        <v>Berlin</v>
      </c>
      <c r="I61" s="11" t="str">
        <f aca="false">IFERROR(__xludf.dummyfunction("""COMPUTED_VALUE"""),"ZAL")</f>
        <v>ZAL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F1" colorId="64" zoomScale="112" zoomScaleNormal="112" zoomScalePageLayoutView="100" workbookViewId="0">
      <selection pane="topLeft" activeCell="F61" activeCellId="0" sqref="61:61"/>
    </sheetView>
  </sheetViews>
  <sheetFormatPr defaultColWidth="8.5390625" defaultRowHeight="15" zeroHeight="false" outlineLevelRow="0" outlineLevelCol="0"/>
  <cols>
    <col collapsed="false" customWidth="true" hidden="false" outlineLevel="0" max="1" min="1" style="2" width="7.43"/>
    <col collapsed="false" customWidth="true" hidden="false" outlineLevel="0" max="2" min="2" style="1" width="4.57"/>
    <col collapsed="false" customWidth="true" hidden="false" outlineLevel="0" max="3" min="3" style="2" width="13.57"/>
    <col collapsed="false" customWidth="true" hidden="false" outlineLevel="0" max="4" min="4" style="2" width="18"/>
    <col collapsed="false" customWidth="true" hidden="false" outlineLevel="0" max="5" min="5" style="2" width="38.14"/>
    <col collapsed="false" customWidth="true" hidden="false" outlineLevel="0" max="6" min="6" style="2" width="90.85"/>
    <col collapsed="false" customWidth="true" hidden="false" outlineLevel="0" max="7" min="7" style="2" width="13.57"/>
    <col collapsed="false" customWidth="true" hidden="false" outlineLevel="0" max="8" min="8" style="1" width="19.85"/>
    <col collapsed="false" customWidth="true" hidden="false" outlineLevel="0" max="19" min="9" style="14" width="13.57"/>
  </cols>
  <sheetData>
    <row r="1" customFormat="false" ht="19.5" hidden="false" customHeight="true" outlineLevel="0" collapsed="false">
      <c r="A1" s="15" t="s">
        <v>2</v>
      </c>
      <c r="B1" s="16" t="s">
        <v>3</v>
      </c>
      <c r="C1" s="15" t="s">
        <v>4</v>
      </c>
      <c r="D1" s="15" t="s">
        <v>5</v>
      </c>
      <c r="E1" s="15" t="s">
        <v>6</v>
      </c>
      <c r="F1" s="15" t="s">
        <v>7</v>
      </c>
      <c r="G1" s="11" t="s">
        <v>8</v>
      </c>
      <c r="H1" s="4"/>
      <c r="J1" s="14" t="s">
        <v>9</v>
      </c>
    </row>
    <row r="2" customFormat="false" ht="19.5" hidden="false" customHeight="true" outlineLevel="0" collapsed="false">
      <c r="A2" s="11" t="s">
        <v>10</v>
      </c>
      <c r="B2" s="8" t="n">
        <v>1</v>
      </c>
      <c r="C2" s="11" t="s">
        <v>11</v>
      </c>
      <c r="D2" s="11" t="s">
        <v>12</v>
      </c>
      <c r="E2" s="11" t="s">
        <v>13</v>
      </c>
      <c r="F2" s="17" t="s">
        <v>14</v>
      </c>
      <c r="G2" s="11" t="s">
        <v>15</v>
      </c>
      <c r="H2" s="7"/>
      <c r="I2" s="11"/>
      <c r="J2" s="11" t="s">
        <v>16</v>
      </c>
      <c r="K2" s="11"/>
      <c r="L2" s="11"/>
      <c r="M2" s="11"/>
      <c r="N2" s="11"/>
      <c r="O2" s="11"/>
    </row>
    <row r="3" customFormat="false" ht="19.5" hidden="false" customHeight="true" outlineLevel="0" collapsed="false">
      <c r="A3" s="11" t="s">
        <v>17</v>
      </c>
      <c r="B3" s="8" t="n">
        <v>2</v>
      </c>
      <c r="C3" s="11" t="s">
        <v>18</v>
      </c>
      <c r="D3" s="11" t="s">
        <v>19</v>
      </c>
      <c r="E3" s="9" t="s">
        <v>20</v>
      </c>
      <c r="F3" s="17" t="s">
        <v>21</v>
      </c>
      <c r="G3" s="11" t="s">
        <v>22</v>
      </c>
      <c r="H3" s="7" t="s">
        <v>23</v>
      </c>
      <c r="I3" s="11" t="s">
        <v>24</v>
      </c>
      <c r="J3" s="11" t="s">
        <v>25</v>
      </c>
      <c r="K3" s="11"/>
      <c r="L3" s="11"/>
      <c r="M3" s="11"/>
      <c r="N3" s="11"/>
      <c r="O3" s="11"/>
    </row>
    <row r="4" customFormat="false" ht="18.75" hidden="false" customHeight="true" outlineLevel="0" collapsed="false">
      <c r="A4" s="11" t="s">
        <v>17</v>
      </c>
      <c r="B4" s="8" t="n">
        <v>3</v>
      </c>
      <c r="C4" s="11" t="s">
        <v>18</v>
      </c>
      <c r="D4" s="11" t="s">
        <v>26</v>
      </c>
      <c r="E4" s="9" t="s">
        <v>27</v>
      </c>
      <c r="F4" s="17" t="s">
        <v>28</v>
      </c>
      <c r="G4" s="11" t="s">
        <v>29</v>
      </c>
      <c r="H4" s="7" t="s">
        <v>30</v>
      </c>
      <c r="I4" s="11" t="s">
        <v>31</v>
      </c>
      <c r="J4" s="11" t="s">
        <v>16</v>
      </c>
      <c r="N4" s="11"/>
      <c r="O4" s="11"/>
    </row>
    <row r="5" customFormat="false" ht="18.75" hidden="false" customHeight="true" outlineLevel="0" collapsed="false">
      <c r="A5" s="11" t="s">
        <v>17</v>
      </c>
      <c r="B5" s="8" t="n">
        <v>4</v>
      </c>
      <c r="C5" s="11" t="s">
        <v>32</v>
      </c>
      <c r="D5" s="11" t="s">
        <v>33</v>
      </c>
      <c r="E5" s="9" t="s">
        <v>34</v>
      </c>
      <c r="F5" s="17" t="s">
        <v>35</v>
      </c>
      <c r="G5" s="11" t="s">
        <v>36</v>
      </c>
      <c r="H5" s="7" t="s">
        <v>37</v>
      </c>
      <c r="I5" s="11" t="s">
        <v>38</v>
      </c>
      <c r="J5" s="11" t="s">
        <v>16</v>
      </c>
      <c r="K5" s="11"/>
      <c r="L5" s="11"/>
      <c r="M5" s="11"/>
      <c r="N5" s="11"/>
      <c r="O5" s="11"/>
    </row>
    <row r="6" customFormat="false" ht="18.75" hidden="false" customHeight="true" outlineLevel="0" collapsed="false">
      <c r="A6" s="11" t="s">
        <v>17</v>
      </c>
      <c r="B6" s="8" t="n">
        <v>5</v>
      </c>
      <c r="C6" s="11" t="s">
        <v>18</v>
      </c>
      <c r="D6" s="11" t="s">
        <v>39</v>
      </c>
      <c r="E6" s="9" t="s">
        <v>40</v>
      </c>
      <c r="F6" s="17" t="s">
        <v>41</v>
      </c>
      <c r="G6" s="11" t="s">
        <v>36</v>
      </c>
      <c r="H6" s="7" t="s">
        <v>42</v>
      </c>
      <c r="I6" s="11" t="s">
        <v>43</v>
      </c>
      <c r="J6" s="11" t="s">
        <v>16</v>
      </c>
      <c r="K6" s="11"/>
      <c r="L6" s="11"/>
      <c r="M6" s="11"/>
      <c r="N6" s="11"/>
      <c r="O6" s="11"/>
    </row>
    <row r="7" customFormat="false" ht="19.5" hidden="false" customHeight="true" outlineLevel="0" collapsed="false">
      <c r="A7" s="11" t="s">
        <v>17</v>
      </c>
      <c r="B7" s="8" t="n">
        <v>6</v>
      </c>
      <c r="C7" s="11" t="s">
        <v>18</v>
      </c>
      <c r="D7" s="11" t="s">
        <v>44</v>
      </c>
      <c r="E7" s="9" t="s">
        <v>45</v>
      </c>
      <c r="F7" s="18" t="s">
        <v>46</v>
      </c>
      <c r="G7" s="11" t="s">
        <v>47</v>
      </c>
      <c r="H7" s="7" t="s">
        <v>37</v>
      </c>
      <c r="I7" s="11" t="s">
        <v>48</v>
      </c>
      <c r="J7" s="11" t="s">
        <v>16</v>
      </c>
      <c r="K7" s="11"/>
      <c r="L7" s="11"/>
      <c r="M7" s="11"/>
      <c r="N7" s="11"/>
      <c r="O7" s="11"/>
    </row>
    <row r="8" customFormat="false" ht="19.5" hidden="false" customHeight="true" outlineLevel="0" collapsed="false">
      <c r="A8" s="11" t="s">
        <v>17</v>
      </c>
      <c r="B8" s="8" t="n">
        <v>7</v>
      </c>
      <c r="C8" s="11" t="s">
        <v>18</v>
      </c>
      <c r="D8" s="11" t="s">
        <v>49</v>
      </c>
      <c r="E8" s="9" t="s">
        <v>50</v>
      </c>
      <c r="F8" s="18" t="s">
        <v>51</v>
      </c>
      <c r="G8" s="11" t="s">
        <v>52</v>
      </c>
      <c r="H8" s="7" t="s">
        <v>53</v>
      </c>
      <c r="I8" s="11" t="s">
        <v>54</v>
      </c>
      <c r="J8" s="11" t="s">
        <v>25</v>
      </c>
      <c r="K8" s="11"/>
      <c r="L8" s="11"/>
      <c r="M8" s="11"/>
      <c r="N8" s="11"/>
      <c r="O8" s="11"/>
    </row>
    <row r="9" customFormat="false" ht="19.5" hidden="false" customHeight="true" outlineLevel="0" collapsed="false">
      <c r="A9" s="11" t="s">
        <v>17</v>
      </c>
      <c r="B9" s="8" t="n">
        <v>8</v>
      </c>
      <c r="C9" s="11" t="s">
        <v>18</v>
      </c>
      <c r="D9" s="11" t="s">
        <v>55</v>
      </c>
      <c r="E9" s="9" t="s">
        <v>56</v>
      </c>
      <c r="F9" s="18" t="s">
        <v>57</v>
      </c>
      <c r="G9" s="11" t="s">
        <v>58</v>
      </c>
      <c r="H9" s="7" t="s">
        <v>59</v>
      </c>
      <c r="I9" s="11" t="s">
        <v>60</v>
      </c>
      <c r="J9" s="11" t="s">
        <v>16</v>
      </c>
      <c r="K9" s="11"/>
      <c r="L9" s="11"/>
      <c r="M9" s="11"/>
      <c r="N9" s="11"/>
      <c r="O9" s="11"/>
    </row>
    <row r="10" customFormat="false" ht="19.5" hidden="false" customHeight="true" outlineLevel="0" collapsed="false">
      <c r="A10" s="11" t="s">
        <v>17</v>
      </c>
      <c r="B10" s="8" t="n">
        <v>9</v>
      </c>
      <c r="C10" s="11" t="s">
        <v>18</v>
      </c>
      <c r="D10" s="11" t="s">
        <v>61</v>
      </c>
      <c r="E10" s="9" t="s">
        <v>62</v>
      </c>
      <c r="F10" s="17" t="s">
        <v>63</v>
      </c>
      <c r="G10" s="11" t="s">
        <v>52</v>
      </c>
      <c r="H10" s="7" t="s">
        <v>64</v>
      </c>
      <c r="I10" s="11" t="s">
        <v>65</v>
      </c>
      <c r="J10" s="11" t="s">
        <v>66</v>
      </c>
      <c r="K10" s="11"/>
      <c r="L10" s="11"/>
      <c r="M10" s="11"/>
      <c r="N10" s="11"/>
      <c r="O10" s="11"/>
    </row>
    <row r="11" customFormat="false" ht="19.5" hidden="false" customHeight="true" outlineLevel="0" collapsed="false">
      <c r="A11" s="11" t="s">
        <v>17</v>
      </c>
      <c r="B11" s="8" t="n">
        <v>10</v>
      </c>
      <c r="C11" s="11" t="s">
        <v>32</v>
      </c>
      <c r="D11" s="11" t="s">
        <v>67</v>
      </c>
      <c r="E11" s="9" t="s">
        <v>68</v>
      </c>
      <c r="F11" s="17" t="s">
        <v>69</v>
      </c>
      <c r="G11" s="11" t="s">
        <v>70</v>
      </c>
      <c r="H11" s="7" t="s">
        <v>71</v>
      </c>
      <c r="I11" s="11" t="s">
        <v>72</v>
      </c>
      <c r="J11" s="11" t="s">
        <v>25</v>
      </c>
      <c r="K11" s="11"/>
      <c r="L11" s="11"/>
      <c r="M11" s="11"/>
      <c r="N11" s="11"/>
      <c r="O11" s="11"/>
    </row>
    <row r="12" customFormat="false" ht="19.5" hidden="false" customHeight="true" outlineLevel="0" collapsed="false">
      <c r="A12" s="11" t="s">
        <v>17</v>
      </c>
      <c r="B12" s="8" t="n">
        <v>11</v>
      </c>
      <c r="C12" s="11" t="s">
        <v>18</v>
      </c>
      <c r="D12" s="11" t="s">
        <v>73</v>
      </c>
      <c r="E12" s="9" t="s">
        <v>74</v>
      </c>
      <c r="F12" s="17" t="s">
        <v>75</v>
      </c>
      <c r="G12" s="11" t="s">
        <v>15</v>
      </c>
      <c r="H12" s="7" t="s">
        <v>76</v>
      </c>
      <c r="I12" s="11" t="s">
        <v>77</v>
      </c>
      <c r="J12" s="11" t="s">
        <v>16</v>
      </c>
      <c r="K12" s="11"/>
      <c r="L12" s="11"/>
      <c r="M12" s="11"/>
      <c r="N12" s="11"/>
      <c r="O12" s="11"/>
    </row>
    <row r="13" customFormat="false" ht="18.75" hidden="false" customHeight="true" outlineLevel="0" collapsed="false">
      <c r="A13" s="11" t="s">
        <v>17</v>
      </c>
      <c r="B13" s="8" t="n">
        <v>12</v>
      </c>
      <c r="C13" s="11" t="s">
        <v>18</v>
      </c>
      <c r="D13" s="11" t="s">
        <v>78</v>
      </c>
      <c r="E13" s="9" t="s">
        <v>79</v>
      </c>
      <c r="F13" s="9" t="s">
        <v>80</v>
      </c>
      <c r="G13" s="11" t="s">
        <v>81</v>
      </c>
      <c r="H13" s="7" t="s">
        <v>82</v>
      </c>
      <c r="I13" s="11" t="s">
        <v>83</v>
      </c>
      <c r="J13" s="11" t="s">
        <v>16</v>
      </c>
      <c r="K13" s="11"/>
      <c r="L13" s="11"/>
      <c r="M13" s="11"/>
      <c r="N13" s="11"/>
      <c r="O13" s="11"/>
    </row>
    <row r="14" customFormat="false" ht="18.75" hidden="false" customHeight="true" outlineLevel="0" collapsed="false">
      <c r="A14" s="11" t="s">
        <v>17</v>
      </c>
      <c r="B14" s="8" t="n">
        <v>13</v>
      </c>
      <c r="C14" s="11" t="s">
        <v>32</v>
      </c>
      <c r="D14" s="11" t="s">
        <v>84</v>
      </c>
      <c r="E14" s="9" t="s">
        <v>85</v>
      </c>
      <c r="F14" s="9" t="s">
        <v>86</v>
      </c>
      <c r="G14" s="11" t="s">
        <v>87</v>
      </c>
      <c r="H14" s="7" t="s">
        <v>64</v>
      </c>
      <c r="I14" s="11" t="s">
        <v>88</v>
      </c>
      <c r="J14" s="11" t="s">
        <v>16</v>
      </c>
      <c r="K14" s="11"/>
      <c r="L14" s="11"/>
      <c r="M14" s="11"/>
      <c r="N14" s="11"/>
      <c r="O14" s="11"/>
    </row>
    <row r="15" customFormat="false" ht="18.75" hidden="false" customHeight="true" outlineLevel="0" collapsed="false">
      <c r="A15" s="11" t="s">
        <v>17</v>
      </c>
      <c r="B15" s="8" t="n">
        <v>14</v>
      </c>
      <c r="C15" s="11" t="s">
        <v>18</v>
      </c>
      <c r="D15" s="11" t="s">
        <v>89</v>
      </c>
      <c r="E15" s="9" t="s">
        <v>90</v>
      </c>
      <c r="F15" s="17" t="s">
        <v>91</v>
      </c>
      <c r="G15" s="11" t="s">
        <v>92</v>
      </c>
      <c r="H15" s="7" t="s">
        <v>93</v>
      </c>
      <c r="I15" s="11" t="s">
        <v>94</v>
      </c>
      <c r="J15" s="11" t="s">
        <v>16</v>
      </c>
      <c r="N15" s="11"/>
      <c r="O15" s="11"/>
    </row>
    <row r="16" customFormat="false" ht="18.75" hidden="false" customHeight="true" outlineLevel="0" collapsed="false">
      <c r="A16" s="11" t="s">
        <v>17</v>
      </c>
      <c r="B16" s="8" t="n">
        <v>15</v>
      </c>
      <c r="C16" s="11" t="s">
        <v>18</v>
      </c>
      <c r="D16" s="11" t="s">
        <v>95</v>
      </c>
      <c r="E16" s="9" t="s">
        <v>96</v>
      </c>
      <c r="F16" s="9" t="s">
        <v>97</v>
      </c>
      <c r="G16" s="11" t="s">
        <v>98</v>
      </c>
      <c r="H16" s="7" t="s">
        <v>99</v>
      </c>
      <c r="I16" s="11" t="s">
        <v>100</v>
      </c>
      <c r="J16" s="11" t="s">
        <v>16</v>
      </c>
      <c r="K16" s="11"/>
      <c r="L16" s="11"/>
      <c r="M16" s="11"/>
      <c r="N16" s="11"/>
      <c r="O16" s="11"/>
    </row>
    <row r="17" customFormat="false" ht="32.25" hidden="false" customHeight="true" outlineLevel="0" collapsed="false">
      <c r="A17" s="11" t="s">
        <v>17</v>
      </c>
      <c r="B17" s="8" t="n">
        <v>16</v>
      </c>
      <c r="C17" s="11" t="s">
        <v>32</v>
      </c>
      <c r="D17" s="11" t="s">
        <v>101</v>
      </c>
      <c r="E17" s="9" t="s">
        <v>102</v>
      </c>
      <c r="F17" s="9" t="s">
        <v>103</v>
      </c>
      <c r="G17" s="11" t="s">
        <v>104</v>
      </c>
      <c r="H17" s="7" t="s">
        <v>59</v>
      </c>
      <c r="I17" s="11" t="s">
        <v>105</v>
      </c>
      <c r="J17" s="11" t="s">
        <v>16</v>
      </c>
      <c r="K17" s="11"/>
      <c r="L17" s="11"/>
      <c r="M17" s="11"/>
      <c r="N17" s="11"/>
      <c r="O17" s="11"/>
    </row>
    <row r="18" customFormat="false" ht="18.75" hidden="false" customHeight="true" outlineLevel="0" collapsed="false">
      <c r="A18" s="11" t="s">
        <v>17</v>
      </c>
      <c r="B18" s="8" t="n">
        <v>17</v>
      </c>
      <c r="C18" s="11" t="s">
        <v>106</v>
      </c>
      <c r="D18" s="11" t="s">
        <v>107</v>
      </c>
      <c r="E18" s="9" t="s">
        <v>108</v>
      </c>
      <c r="F18" s="17" t="s">
        <v>109</v>
      </c>
      <c r="G18" s="11" t="s">
        <v>110</v>
      </c>
      <c r="H18" s="7" t="s">
        <v>37</v>
      </c>
      <c r="I18" s="11" t="s">
        <v>111</v>
      </c>
      <c r="J18" s="11"/>
      <c r="K18" s="11"/>
      <c r="L18" s="11"/>
      <c r="M18" s="11"/>
      <c r="N18" s="11"/>
      <c r="O18" s="11"/>
    </row>
    <row r="19" customFormat="false" ht="18.75" hidden="false" customHeight="true" outlineLevel="0" collapsed="false">
      <c r="A19" s="11" t="s">
        <v>17</v>
      </c>
      <c r="B19" s="8" t="n">
        <v>18</v>
      </c>
      <c r="C19" s="11" t="s">
        <v>18</v>
      </c>
      <c r="D19" s="11" t="s">
        <v>112</v>
      </c>
      <c r="E19" s="9" t="s">
        <v>113</v>
      </c>
      <c r="F19" s="19" t="s">
        <v>114</v>
      </c>
      <c r="G19" s="11" t="s">
        <v>115</v>
      </c>
      <c r="H19" s="7" t="s">
        <v>116</v>
      </c>
      <c r="I19" s="11" t="s">
        <v>117</v>
      </c>
      <c r="J19" s="11"/>
      <c r="K19" s="11"/>
      <c r="L19" s="11"/>
      <c r="M19" s="11"/>
      <c r="N19" s="11"/>
      <c r="O19" s="11"/>
    </row>
    <row r="20" customFormat="false" ht="18.75" hidden="false" customHeight="true" outlineLevel="0" collapsed="false">
      <c r="A20" s="11" t="s">
        <v>17</v>
      </c>
      <c r="B20" s="8" t="n">
        <v>19</v>
      </c>
      <c r="C20" s="11" t="s">
        <v>32</v>
      </c>
      <c r="D20" s="11" t="s">
        <v>118</v>
      </c>
      <c r="E20" s="9" t="s">
        <v>119</v>
      </c>
      <c r="F20" s="9" t="s">
        <v>120</v>
      </c>
      <c r="G20" s="11" t="s">
        <v>121</v>
      </c>
      <c r="H20" s="7" t="s">
        <v>122</v>
      </c>
      <c r="I20" s="11" t="s">
        <v>123</v>
      </c>
      <c r="J20" s="11"/>
      <c r="K20" s="11"/>
      <c r="L20" s="11"/>
      <c r="M20" s="11"/>
      <c r="N20" s="11"/>
      <c r="O20" s="11"/>
    </row>
    <row r="21" customFormat="false" ht="18.75" hidden="false" customHeight="true" outlineLevel="0" collapsed="false">
      <c r="A21" s="11" t="s">
        <v>17</v>
      </c>
      <c r="B21" s="8" t="n">
        <v>20</v>
      </c>
      <c r="C21" s="11" t="s">
        <v>18</v>
      </c>
      <c r="D21" s="11" t="s">
        <v>124</v>
      </c>
      <c r="E21" s="9" t="s">
        <v>125</v>
      </c>
      <c r="F21" s="19" t="s">
        <v>126</v>
      </c>
      <c r="G21" s="11" t="s">
        <v>104</v>
      </c>
      <c r="H21" s="7" t="s">
        <v>127</v>
      </c>
      <c r="I21" s="11" t="s">
        <v>128</v>
      </c>
      <c r="J21" s="11"/>
      <c r="K21" s="11"/>
      <c r="L21" s="11"/>
      <c r="M21" s="11"/>
      <c r="N21" s="11"/>
      <c r="O21" s="11"/>
    </row>
    <row r="22" customFormat="false" ht="18.75" hidden="false" customHeight="true" outlineLevel="0" collapsed="false">
      <c r="A22" s="11" t="s">
        <v>17</v>
      </c>
      <c r="B22" s="8" t="n">
        <v>21</v>
      </c>
      <c r="C22" s="11" t="s">
        <v>18</v>
      </c>
      <c r="D22" s="11" t="s">
        <v>129</v>
      </c>
      <c r="E22" s="9" t="s">
        <v>130</v>
      </c>
      <c r="F22" s="17" t="s">
        <v>131</v>
      </c>
      <c r="G22" s="11" t="s">
        <v>132</v>
      </c>
      <c r="H22" s="7" t="s">
        <v>133</v>
      </c>
      <c r="I22" s="11" t="s">
        <v>134</v>
      </c>
      <c r="J22" s="11"/>
      <c r="K22" s="11"/>
      <c r="L22" s="11"/>
      <c r="M22" s="11"/>
      <c r="N22" s="11"/>
      <c r="O22" s="11"/>
    </row>
    <row r="23" customFormat="false" ht="18.75" hidden="false" customHeight="true" outlineLevel="0" collapsed="false">
      <c r="A23" s="11" t="s">
        <v>17</v>
      </c>
      <c r="B23" s="8" t="n">
        <v>22</v>
      </c>
      <c r="C23" s="11" t="s">
        <v>18</v>
      </c>
      <c r="D23" s="11" t="s">
        <v>135</v>
      </c>
      <c r="E23" s="9" t="s">
        <v>136</v>
      </c>
      <c r="F23" s="9" t="s">
        <v>137</v>
      </c>
      <c r="G23" s="11" t="s">
        <v>138</v>
      </c>
      <c r="H23" s="7" t="s">
        <v>133</v>
      </c>
      <c r="I23" s="11" t="s">
        <v>139</v>
      </c>
      <c r="J23" s="11"/>
      <c r="K23" s="11"/>
      <c r="L23" s="11"/>
      <c r="M23" s="11"/>
      <c r="N23" s="11"/>
      <c r="O23" s="11"/>
    </row>
    <row r="24" customFormat="false" ht="18.75" hidden="false" customHeight="true" outlineLevel="0" collapsed="false">
      <c r="A24" s="11" t="s">
        <v>17</v>
      </c>
      <c r="B24" s="8" t="n">
        <v>23</v>
      </c>
      <c r="C24" s="11" t="s">
        <v>18</v>
      </c>
      <c r="D24" s="11" t="s">
        <v>140</v>
      </c>
      <c r="E24" s="9" t="s">
        <v>141</v>
      </c>
      <c r="F24" s="9" t="s">
        <v>142</v>
      </c>
      <c r="G24" s="11" t="s">
        <v>36</v>
      </c>
      <c r="H24" s="7" t="s">
        <v>143</v>
      </c>
      <c r="I24" s="11" t="s">
        <v>144</v>
      </c>
      <c r="J24" s="11"/>
      <c r="K24" s="11"/>
      <c r="L24" s="11"/>
      <c r="M24" s="11"/>
      <c r="N24" s="11"/>
      <c r="O24" s="11"/>
    </row>
    <row r="25" customFormat="false" ht="18.75" hidden="false" customHeight="true" outlineLevel="0" collapsed="false">
      <c r="A25" s="11" t="s">
        <v>17</v>
      </c>
      <c r="B25" s="8" t="n">
        <v>24</v>
      </c>
      <c r="C25" s="11" t="s">
        <v>32</v>
      </c>
      <c r="D25" s="11" t="s">
        <v>145</v>
      </c>
      <c r="E25" s="9" t="s">
        <v>146</v>
      </c>
      <c r="F25" s="17" t="s">
        <v>147</v>
      </c>
      <c r="G25" s="11" t="s">
        <v>148</v>
      </c>
      <c r="H25" s="7" t="s">
        <v>149</v>
      </c>
      <c r="I25" s="11" t="s">
        <v>150</v>
      </c>
      <c r="J25" s="11"/>
      <c r="K25" s="11"/>
      <c r="L25" s="11"/>
      <c r="M25" s="11"/>
      <c r="N25" s="11"/>
      <c r="O25" s="11"/>
    </row>
    <row r="26" customFormat="false" ht="18.75" hidden="false" customHeight="true" outlineLevel="0" collapsed="false">
      <c r="A26" s="11" t="s">
        <v>17</v>
      </c>
      <c r="B26" s="8" t="n">
        <v>25</v>
      </c>
      <c r="C26" s="11" t="s">
        <v>32</v>
      </c>
      <c r="D26" s="11" t="s">
        <v>151</v>
      </c>
      <c r="E26" s="9" t="s">
        <v>152</v>
      </c>
      <c r="F26" s="9" t="s">
        <v>153</v>
      </c>
      <c r="G26" s="11" t="s">
        <v>154</v>
      </c>
      <c r="H26" s="7" t="s">
        <v>155</v>
      </c>
      <c r="I26" s="11" t="s">
        <v>156</v>
      </c>
      <c r="J26" s="11"/>
      <c r="K26" s="11"/>
      <c r="L26" s="11"/>
      <c r="M26" s="11"/>
      <c r="N26" s="11"/>
      <c r="O26" s="11"/>
    </row>
    <row r="27" customFormat="false" ht="18.75" hidden="false" customHeight="true" outlineLevel="0" collapsed="false">
      <c r="A27" s="11" t="s">
        <v>17</v>
      </c>
      <c r="B27" s="8" t="n">
        <v>26</v>
      </c>
      <c r="C27" s="11" t="s">
        <v>18</v>
      </c>
      <c r="D27" s="11" t="s">
        <v>157</v>
      </c>
      <c r="E27" s="9" t="s">
        <v>158</v>
      </c>
      <c r="F27" s="9" t="s">
        <v>159</v>
      </c>
      <c r="G27" s="11" t="s">
        <v>160</v>
      </c>
      <c r="H27" s="7" t="s">
        <v>161</v>
      </c>
      <c r="I27" s="11" t="s">
        <v>162</v>
      </c>
      <c r="J27" s="11"/>
      <c r="K27" s="11"/>
      <c r="L27" s="11"/>
      <c r="M27" s="11"/>
      <c r="N27" s="11"/>
      <c r="O27" s="11"/>
    </row>
    <row r="28" customFormat="false" ht="18.75" hidden="false" customHeight="true" outlineLevel="0" collapsed="false">
      <c r="A28" s="11" t="s">
        <v>17</v>
      </c>
      <c r="B28" s="8" t="n">
        <v>27</v>
      </c>
      <c r="C28" s="11" t="s">
        <v>106</v>
      </c>
      <c r="D28" s="11" t="s">
        <v>163</v>
      </c>
      <c r="E28" s="9" t="s">
        <v>164</v>
      </c>
      <c r="F28" s="9" t="s">
        <v>165</v>
      </c>
      <c r="G28" s="11" t="s">
        <v>166</v>
      </c>
      <c r="H28" s="7" t="s">
        <v>167</v>
      </c>
      <c r="I28" s="11" t="s">
        <v>168</v>
      </c>
      <c r="J28" s="11"/>
      <c r="K28" s="11"/>
      <c r="L28" s="11"/>
      <c r="M28" s="11"/>
      <c r="N28" s="11"/>
      <c r="O28" s="11"/>
    </row>
    <row r="29" customFormat="false" ht="18.75" hidden="false" customHeight="true" outlineLevel="0" collapsed="false">
      <c r="A29" s="11" t="s">
        <v>17</v>
      </c>
      <c r="B29" s="8" t="n">
        <v>28</v>
      </c>
      <c r="C29" s="11" t="s">
        <v>106</v>
      </c>
      <c r="D29" s="11" t="s">
        <v>169</v>
      </c>
      <c r="E29" s="9" t="s">
        <v>170</v>
      </c>
      <c r="F29" s="17" t="s">
        <v>171</v>
      </c>
      <c r="G29" s="11" t="s">
        <v>172</v>
      </c>
      <c r="H29" s="7" t="s">
        <v>59</v>
      </c>
      <c r="I29" s="11" t="s">
        <v>173</v>
      </c>
      <c r="J29" s="11"/>
      <c r="K29" s="11"/>
      <c r="L29" s="11"/>
      <c r="M29" s="11"/>
      <c r="N29" s="11"/>
      <c r="O29" s="11"/>
    </row>
    <row r="30" customFormat="false" ht="18.75" hidden="false" customHeight="true" outlineLevel="0" collapsed="false">
      <c r="A30" s="11" t="s">
        <v>17</v>
      </c>
      <c r="B30" s="8" t="n">
        <v>29</v>
      </c>
      <c r="C30" s="11" t="s">
        <v>32</v>
      </c>
      <c r="D30" s="11" t="s">
        <v>174</v>
      </c>
      <c r="E30" s="9" t="s">
        <v>175</v>
      </c>
      <c r="F30" s="9" t="s">
        <v>176</v>
      </c>
      <c r="G30" s="11" t="s">
        <v>177</v>
      </c>
      <c r="H30" s="7" t="s">
        <v>178</v>
      </c>
      <c r="I30" s="11" t="s">
        <v>179</v>
      </c>
      <c r="J30" s="11"/>
      <c r="K30" s="11"/>
      <c r="L30" s="11"/>
      <c r="M30" s="11"/>
      <c r="N30" s="11"/>
      <c r="O30" s="11"/>
    </row>
    <row r="31" customFormat="false" ht="18.75" hidden="false" customHeight="true" outlineLevel="0" collapsed="false">
      <c r="A31" s="11" t="s">
        <v>17</v>
      </c>
      <c r="B31" s="8" t="n">
        <v>30</v>
      </c>
      <c r="C31" s="11" t="s">
        <v>18</v>
      </c>
      <c r="D31" s="11" t="s">
        <v>180</v>
      </c>
      <c r="E31" s="9" t="s">
        <v>181</v>
      </c>
      <c r="F31" s="9" t="s">
        <v>182</v>
      </c>
      <c r="G31" s="11" t="s">
        <v>183</v>
      </c>
      <c r="H31" s="7" t="s">
        <v>184</v>
      </c>
      <c r="I31" s="11" t="s">
        <v>185</v>
      </c>
      <c r="J31" s="11"/>
      <c r="K31" s="11"/>
      <c r="L31" s="11"/>
      <c r="M31" s="11"/>
      <c r="N31" s="11"/>
      <c r="O31" s="11"/>
    </row>
    <row r="32" customFormat="false" ht="19.5" hidden="false" customHeight="true" outlineLevel="0" collapsed="false">
      <c r="A32" s="11" t="s">
        <v>17</v>
      </c>
      <c r="B32" s="8" t="n">
        <v>31</v>
      </c>
      <c r="C32" s="11" t="s">
        <v>18</v>
      </c>
      <c r="D32" s="11" t="s">
        <v>186</v>
      </c>
      <c r="E32" s="9" t="s">
        <v>187</v>
      </c>
      <c r="F32" s="9" t="s">
        <v>188</v>
      </c>
      <c r="G32" s="11" t="s">
        <v>189</v>
      </c>
      <c r="H32" s="7" t="s">
        <v>116</v>
      </c>
      <c r="I32" s="11" t="s">
        <v>190</v>
      </c>
    </row>
    <row r="33" customFormat="false" ht="19.5" hidden="false" customHeight="true" outlineLevel="0" collapsed="false">
      <c r="A33" s="11" t="s">
        <v>17</v>
      </c>
      <c r="B33" s="8" t="n">
        <v>32</v>
      </c>
      <c r="C33" s="11" t="s">
        <v>32</v>
      </c>
      <c r="D33" s="11" t="s">
        <v>191</v>
      </c>
      <c r="E33" s="9" t="s">
        <v>192</v>
      </c>
      <c r="F33" s="9" t="s">
        <v>193</v>
      </c>
      <c r="G33" s="11" t="s">
        <v>194</v>
      </c>
      <c r="H33" s="7" t="s">
        <v>64</v>
      </c>
      <c r="I33" s="11" t="s">
        <v>195</v>
      </c>
    </row>
    <row r="34" customFormat="false" ht="19.5" hidden="false" customHeight="true" outlineLevel="0" collapsed="false">
      <c r="A34" s="11" t="s">
        <v>17</v>
      </c>
      <c r="B34" s="8" t="n">
        <v>33</v>
      </c>
      <c r="C34" s="11" t="s">
        <v>18</v>
      </c>
      <c r="D34" s="11" t="s">
        <v>196</v>
      </c>
      <c r="E34" s="9" t="s">
        <v>197</v>
      </c>
      <c r="F34" s="9" t="s">
        <v>198</v>
      </c>
      <c r="G34" s="11" t="s">
        <v>104</v>
      </c>
      <c r="H34" s="7" t="s">
        <v>93</v>
      </c>
      <c r="I34" s="11" t="s">
        <v>199</v>
      </c>
    </row>
    <row r="35" customFormat="false" ht="19.5" hidden="false" customHeight="true" outlineLevel="0" collapsed="false">
      <c r="A35" s="11" t="s">
        <v>17</v>
      </c>
      <c r="B35" s="8" t="n">
        <v>34</v>
      </c>
      <c r="C35" s="11" t="s">
        <v>32</v>
      </c>
      <c r="D35" s="11" t="s">
        <v>200</v>
      </c>
      <c r="E35" s="9" t="s">
        <v>201</v>
      </c>
      <c r="F35" s="19" t="s">
        <v>202</v>
      </c>
      <c r="G35" s="11" t="s">
        <v>36</v>
      </c>
      <c r="H35" s="7" t="s">
        <v>133</v>
      </c>
      <c r="I35" s="11" t="s">
        <v>203</v>
      </c>
    </row>
    <row r="36" customFormat="false" ht="18.75" hidden="false" customHeight="true" outlineLevel="0" collapsed="false">
      <c r="A36" s="11" t="s">
        <v>17</v>
      </c>
      <c r="B36" s="8" t="n">
        <v>35</v>
      </c>
      <c r="C36" s="11" t="s">
        <v>18</v>
      </c>
      <c r="D36" s="11" t="s">
        <v>204</v>
      </c>
      <c r="E36" s="9" t="s">
        <v>205</v>
      </c>
      <c r="F36" s="9" t="s">
        <v>206</v>
      </c>
      <c r="G36" s="11" t="s">
        <v>207</v>
      </c>
      <c r="H36" s="7" t="s">
        <v>133</v>
      </c>
      <c r="I36" s="11" t="s">
        <v>208</v>
      </c>
    </row>
    <row r="37" customFormat="false" ht="18.75" hidden="false" customHeight="true" outlineLevel="0" collapsed="false">
      <c r="A37" s="11" t="s">
        <v>17</v>
      </c>
      <c r="B37" s="8" t="n">
        <v>36</v>
      </c>
      <c r="C37" s="11" t="s">
        <v>32</v>
      </c>
      <c r="D37" s="11" t="s">
        <v>209</v>
      </c>
      <c r="E37" s="19" t="s">
        <v>210</v>
      </c>
      <c r="F37" s="19" t="s">
        <v>211</v>
      </c>
      <c r="G37" s="11" t="s">
        <v>110</v>
      </c>
      <c r="H37" s="7" t="s">
        <v>212</v>
      </c>
      <c r="I37" s="11" t="s">
        <v>213</v>
      </c>
    </row>
    <row r="38" customFormat="false" ht="18.75" hidden="false" customHeight="true" outlineLevel="0" collapsed="false">
      <c r="A38" s="11" t="s">
        <v>17</v>
      </c>
      <c r="B38" s="8" t="n">
        <v>37</v>
      </c>
      <c r="C38" s="11" t="s">
        <v>18</v>
      </c>
      <c r="D38" s="11" t="s">
        <v>214</v>
      </c>
      <c r="E38" s="19" t="s">
        <v>215</v>
      </c>
      <c r="F38" s="9" t="s">
        <v>216</v>
      </c>
      <c r="G38" s="11" t="s">
        <v>81</v>
      </c>
      <c r="H38" s="7" t="s">
        <v>64</v>
      </c>
      <c r="I38" s="11" t="s">
        <v>217</v>
      </c>
    </row>
    <row r="39" customFormat="false" ht="18.75" hidden="false" customHeight="true" outlineLevel="0" collapsed="false">
      <c r="A39" s="11" t="s">
        <v>17</v>
      </c>
      <c r="B39" s="8" t="n">
        <v>38</v>
      </c>
      <c r="C39" s="11" t="s">
        <v>32</v>
      </c>
      <c r="D39" s="11" t="s">
        <v>218</v>
      </c>
      <c r="E39" s="9" t="s">
        <v>219</v>
      </c>
      <c r="F39" s="19" t="s">
        <v>220</v>
      </c>
      <c r="G39" s="11" t="s">
        <v>221</v>
      </c>
      <c r="H39" s="7" t="s">
        <v>64</v>
      </c>
      <c r="I39" s="11" t="s">
        <v>222</v>
      </c>
    </row>
    <row r="40" customFormat="false" ht="18.75" hidden="false" customHeight="true" outlineLevel="0" collapsed="false">
      <c r="A40" s="11" t="s">
        <v>17</v>
      </c>
      <c r="B40" s="8" t="n">
        <v>39</v>
      </c>
      <c r="C40" s="11" t="s">
        <v>18</v>
      </c>
      <c r="D40" s="11" t="s">
        <v>223</v>
      </c>
      <c r="E40" s="19" t="s">
        <v>224</v>
      </c>
      <c r="F40" s="9" t="s">
        <v>225</v>
      </c>
      <c r="G40" s="11" t="s">
        <v>226</v>
      </c>
      <c r="H40" s="7" t="s">
        <v>227</v>
      </c>
      <c r="I40" s="11" t="s">
        <v>228</v>
      </c>
    </row>
    <row r="41" customFormat="false" ht="18.75" hidden="false" customHeight="true" outlineLevel="0" collapsed="false">
      <c r="A41" s="11" t="s">
        <v>17</v>
      </c>
      <c r="B41" s="8" t="n">
        <v>40</v>
      </c>
      <c r="C41" s="11" t="s">
        <v>18</v>
      </c>
      <c r="D41" s="11" t="s">
        <v>229</v>
      </c>
      <c r="E41" s="9" t="s">
        <v>230</v>
      </c>
      <c r="F41" s="19" t="s">
        <v>231</v>
      </c>
      <c r="G41" s="11" t="s">
        <v>232</v>
      </c>
      <c r="H41" s="7" t="s">
        <v>233</v>
      </c>
      <c r="I41" s="11" t="s">
        <v>234</v>
      </c>
    </row>
    <row r="42" customFormat="false" ht="18.75" hidden="false" customHeight="true" outlineLevel="0" collapsed="false">
      <c r="A42" s="11" t="s">
        <v>17</v>
      </c>
      <c r="B42" s="8" t="n">
        <v>41</v>
      </c>
      <c r="C42" s="11" t="s">
        <v>106</v>
      </c>
      <c r="D42" s="11" t="s">
        <v>235</v>
      </c>
      <c r="E42" s="9" t="s">
        <v>236</v>
      </c>
      <c r="F42" s="9" t="s">
        <v>237</v>
      </c>
      <c r="G42" s="11" t="s">
        <v>110</v>
      </c>
      <c r="H42" s="7" t="s">
        <v>238</v>
      </c>
      <c r="I42" s="11" t="s">
        <v>239</v>
      </c>
    </row>
    <row r="43" customFormat="false" ht="18.75" hidden="false" customHeight="true" outlineLevel="0" collapsed="false">
      <c r="A43" s="11" t="s">
        <v>17</v>
      </c>
      <c r="B43" s="8" t="n">
        <v>42</v>
      </c>
      <c r="C43" s="11" t="s">
        <v>32</v>
      </c>
      <c r="D43" s="11" t="s">
        <v>240</v>
      </c>
      <c r="E43" s="9" t="s">
        <v>241</v>
      </c>
      <c r="F43" s="17" t="s">
        <v>242</v>
      </c>
      <c r="G43" s="11" t="s">
        <v>194</v>
      </c>
      <c r="H43" s="7" t="s">
        <v>243</v>
      </c>
      <c r="I43" s="11" t="s">
        <v>244</v>
      </c>
    </row>
    <row r="44" customFormat="false" ht="18.75" hidden="false" customHeight="true" outlineLevel="0" collapsed="false">
      <c r="A44" s="11" t="s">
        <v>17</v>
      </c>
      <c r="B44" s="8" t="n">
        <v>43</v>
      </c>
      <c r="C44" s="11" t="s">
        <v>18</v>
      </c>
      <c r="D44" s="11" t="s">
        <v>245</v>
      </c>
      <c r="E44" s="9" t="s">
        <v>246</v>
      </c>
      <c r="F44" s="9" t="s">
        <v>247</v>
      </c>
      <c r="G44" s="11" t="s">
        <v>248</v>
      </c>
      <c r="H44" s="7" t="s">
        <v>133</v>
      </c>
      <c r="I44" s="11" t="s">
        <v>249</v>
      </c>
    </row>
    <row r="45" customFormat="false" ht="18.75" hidden="false" customHeight="true" outlineLevel="0" collapsed="false">
      <c r="A45" s="11" t="s">
        <v>17</v>
      </c>
      <c r="B45" s="8" t="n">
        <v>44</v>
      </c>
      <c r="C45" s="11" t="s">
        <v>32</v>
      </c>
      <c r="D45" s="11" t="s">
        <v>250</v>
      </c>
      <c r="E45" s="9" t="s">
        <v>251</v>
      </c>
      <c r="F45" s="20" t="s">
        <v>252</v>
      </c>
      <c r="G45" s="11" t="s">
        <v>253</v>
      </c>
      <c r="H45" s="7" t="s">
        <v>167</v>
      </c>
      <c r="I45" s="11" t="s">
        <v>254</v>
      </c>
    </row>
    <row r="46" customFormat="false" ht="18.75" hidden="false" customHeight="true" outlineLevel="0" collapsed="false">
      <c r="A46" s="11" t="s">
        <v>17</v>
      </c>
      <c r="B46" s="8" t="n">
        <v>45</v>
      </c>
      <c r="C46" s="11" t="s">
        <v>32</v>
      </c>
      <c r="D46" s="11" t="s">
        <v>255</v>
      </c>
      <c r="E46" s="9" t="s">
        <v>256</v>
      </c>
      <c r="F46" s="20" t="s">
        <v>257</v>
      </c>
      <c r="G46" s="11" t="s">
        <v>226</v>
      </c>
      <c r="H46" s="7" t="s">
        <v>143</v>
      </c>
      <c r="I46" s="11" t="s">
        <v>258</v>
      </c>
    </row>
    <row r="47" customFormat="false" ht="18.75" hidden="false" customHeight="true" outlineLevel="0" collapsed="false">
      <c r="A47" s="11" t="s">
        <v>17</v>
      </c>
      <c r="B47" s="8" t="n">
        <v>46</v>
      </c>
      <c r="C47" s="11" t="s">
        <v>32</v>
      </c>
      <c r="D47" s="11" t="s">
        <v>259</v>
      </c>
      <c r="E47" s="9" t="s">
        <v>260</v>
      </c>
      <c r="F47" s="9" t="s">
        <v>261</v>
      </c>
      <c r="G47" s="11" t="s">
        <v>262</v>
      </c>
      <c r="H47" s="7" t="s">
        <v>263</v>
      </c>
      <c r="I47" s="11" t="s">
        <v>264</v>
      </c>
    </row>
    <row r="48" customFormat="false" ht="18.75" hidden="false" customHeight="true" outlineLevel="0" collapsed="false">
      <c r="A48" s="11" t="s">
        <v>17</v>
      </c>
      <c r="B48" s="8" t="n">
        <v>47</v>
      </c>
      <c r="C48" s="11" t="s">
        <v>18</v>
      </c>
      <c r="D48" s="11" t="s">
        <v>265</v>
      </c>
      <c r="E48" s="9" t="s">
        <v>266</v>
      </c>
      <c r="F48" s="9" t="s">
        <v>267</v>
      </c>
      <c r="G48" s="11" t="s">
        <v>268</v>
      </c>
      <c r="H48" s="7" t="s">
        <v>64</v>
      </c>
      <c r="I48" s="11" t="s">
        <v>269</v>
      </c>
    </row>
    <row r="49" customFormat="false" ht="18.75" hidden="false" customHeight="true" outlineLevel="0" collapsed="false">
      <c r="A49" s="11" t="s">
        <v>17</v>
      </c>
      <c r="B49" s="8" t="n">
        <v>48</v>
      </c>
      <c r="C49" s="11" t="s">
        <v>18</v>
      </c>
      <c r="D49" s="11" t="s">
        <v>270</v>
      </c>
      <c r="E49" s="9" t="s">
        <v>271</v>
      </c>
      <c r="F49" s="9" t="s">
        <v>272</v>
      </c>
      <c r="G49" s="11" t="s">
        <v>70</v>
      </c>
      <c r="H49" s="7" t="s">
        <v>273</v>
      </c>
      <c r="I49" s="11" t="s">
        <v>274</v>
      </c>
    </row>
    <row r="50" customFormat="false" ht="18.75" hidden="false" customHeight="true" outlineLevel="0" collapsed="false">
      <c r="A50" s="11" t="s">
        <v>17</v>
      </c>
      <c r="B50" s="8" t="n">
        <v>49</v>
      </c>
      <c r="C50" s="11" t="s">
        <v>32</v>
      </c>
      <c r="D50" s="11" t="s">
        <v>275</v>
      </c>
      <c r="E50" s="9" t="s">
        <v>276</v>
      </c>
      <c r="F50" s="9" t="s">
        <v>277</v>
      </c>
      <c r="G50" s="11" t="s">
        <v>29</v>
      </c>
      <c r="H50" s="7" t="s">
        <v>64</v>
      </c>
      <c r="I50" s="11" t="s">
        <v>278</v>
      </c>
    </row>
    <row r="51" customFormat="false" ht="18.75" hidden="false" customHeight="true" outlineLevel="0" collapsed="false">
      <c r="A51" s="11" t="s">
        <v>17</v>
      </c>
      <c r="B51" s="8" t="n">
        <v>50</v>
      </c>
      <c r="C51" s="11" t="s">
        <v>32</v>
      </c>
      <c r="D51" s="11" t="s">
        <v>279</v>
      </c>
      <c r="E51" s="9" t="s">
        <v>280</v>
      </c>
      <c r="F51" s="9" t="s">
        <v>281</v>
      </c>
      <c r="G51" s="11" t="s">
        <v>81</v>
      </c>
      <c r="H51" s="7" t="s">
        <v>282</v>
      </c>
      <c r="I51" s="11" t="s">
        <v>283</v>
      </c>
    </row>
    <row r="52" customFormat="false" ht="18.75" hidden="false" customHeight="true" outlineLevel="0" collapsed="false">
      <c r="A52" s="11" t="s">
        <v>17</v>
      </c>
      <c r="B52" s="8" t="n">
        <v>51</v>
      </c>
      <c r="C52" s="11" t="s">
        <v>32</v>
      </c>
      <c r="D52" s="11" t="s">
        <v>284</v>
      </c>
      <c r="E52" s="9" t="s">
        <v>285</v>
      </c>
      <c r="F52" s="9" t="s">
        <v>286</v>
      </c>
      <c r="G52" s="11" t="s">
        <v>287</v>
      </c>
      <c r="H52" s="7" t="s">
        <v>93</v>
      </c>
      <c r="I52" s="11" t="s">
        <v>288</v>
      </c>
    </row>
    <row r="53" customFormat="false" ht="18.75" hidden="false" customHeight="true" outlineLevel="0" collapsed="false">
      <c r="A53" s="11" t="s">
        <v>17</v>
      </c>
      <c r="B53" s="8" t="n">
        <v>52</v>
      </c>
      <c r="C53" s="11" t="s">
        <v>32</v>
      </c>
      <c r="D53" s="11" t="s">
        <v>289</v>
      </c>
      <c r="E53" s="9" t="s">
        <v>290</v>
      </c>
      <c r="F53" s="9" t="s">
        <v>291</v>
      </c>
      <c r="G53" s="11" t="s">
        <v>104</v>
      </c>
      <c r="H53" s="7" t="s">
        <v>292</v>
      </c>
      <c r="I53" s="11" t="s">
        <v>293</v>
      </c>
    </row>
    <row r="54" customFormat="false" ht="18.75" hidden="false" customHeight="true" outlineLevel="0" collapsed="false">
      <c r="A54" s="11" t="s">
        <v>17</v>
      </c>
      <c r="B54" s="8" t="n">
        <v>53</v>
      </c>
      <c r="C54" s="11" t="s">
        <v>106</v>
      </c>
      <c r="D54" s="11" t="s">
        <v>294</v>
      </c>
      <c r="E54" s="9" t="s">
        <v>295</v>
      </c>
      <c r="F54" s="19" t="s">
        <v>296</v>
      </c>
      <c r="G54" s="11" t="s">
        <v>36</v>
      </c>
      <c r="H54" s="7" t="s">
        <v>37</v>
      </c>
      <c r="I54" s="11" t="s">
        <v>297</v>
      </c>
    </row>
    <row r="55" customFormat="false" ht="18.75" hidden="false" customHeight="true" outlineLevel="0" collapsed="false">
      <c r="A55" s="11" t="s">
        <v>17</v>
      </c>
      <c r="B55" s="8" t="n">
        <v>54</v>
      </c>
      <c r="C55" s="11" t="s">
        <v>32</v>
      </c>
      <c r="D55" s="11" t="s">
        <v>298</v>
      </c>
      <c r="E55" s="19" t="s">
        <v>299</v>
      </c>
      <c r="F55" s="19" t="s">
        <v>300</v>
      </c>
      <c r="G55" s="11" t="s">
        <v>81</v>
      </c>
      <c r="H55" s="7" t="s">
        <v>301</v>
      </c>
      <c r="I55" s="11" t="s">
        <v>302</v>
      </c>
    </row>
    <row r="56" customFormat="false" ht="18.75" hidden="false" customHeight="true" outlineLevel="0" collapsed="false">
      <c r="A56" s="11" t="s">
        <v>17</v>
      </c>
      <c r="B56" s="8" t="n">
        <v>55</v>
      </c>
      <c r="C56" s="11" t="s">
        <v>18</v>
      </c>
      <c r="D56" s="11" t="s">
        <v>303</v>
      </c>
      <c r="E56" s="9" t="s">
        <v>304</v>
      </c>
      <c r="F56" s="9" t="s">
        <v>305</v>
      </c>
      <c r="G56" s="11" t="s">
        <v>121</v>
      </c>
      <c r="H56" s="7" t="s">
        <v>64</v>
      </c>
      <c r="I56" s="11" t="s">
        <v>306</v>
      </c>
    </row>
    <row r="57" customFormat="false" ht="18.75" hidden="false" customHeight="true" outlineLevel="0" collapsed="false">
      <c r="A57" s="11" t="s">
        <v>17</v>
      </c>
      <c r="B57" s="8" t="n">
        <v>56</v>
      </c>
      <c r="C57" s="11" t="s">
        <v>32</v>
      </c>
      <c r="D57" s="11" t="s">
        <v>307</v>
      </c>
      <c r="E57" s="19" t="s">
        <v>308</v>
      </c>
      <c r="F57" s="19" t="s">
        <v>309</v>
      </c>
      <c r="G57" s="11" t="s">
        <v>310</v>
      </c>
      <c r="H57" s="7" t="s">
        <v>311</v>
      </c>
      <c r="I57" s="11" t="s">
        <v>312</v>
      </c>
    </row>
    <row r="58" customFormat="false" ht="18.75" hidden="false" customHeight="true" outlineLevel="0" collapsed="false">
      <c r="A58" s="11" t="s">
        <v>17</v>
      </c>
      <c r="B58" s="8" t="n">
        <v>57</v>
      </c>
      <c r="C58" s="11" t="s">
        <v>18</v>
      </c>
      <c r="D58" s="11" t="s">
        <v>313</v>
      </c>
      <c r="E58" s="9" t="s">
        <v>314</v>
      </c>
      <c r="F58" s="9" t="s">
        <v>315</v>
      </c>
      <c r="G58" s="11" t="s">
        <v>316</v>
      </c>
      <c r="H58" s="7" t="s">
        <v>133</v>
      </c>
      <c r="I58" s="11" t="s">
        <v>317</v>
      </c>
    </row>
    <row r="59" customFormat="false" ht="18.75" hidden="false" customHeight="true" outlineLevel="0" collapsed="false">
      <c r="A59" s="11" t="s">
        <v>17</v>
      </c>
      <c r="B59" s="8" t="n">
        <v>58</v>
      </c>
      <c r="C59" s="11" t="s">
        <v>18</v>
      </c>
      <c r="D59" s="11" t="s">
        <v>318</v>
      </c>
      <c r="E59" s="9" t="s">
        <v>319</v>
      </c>
      <c r="F59" s="9" t="s">
        <v>320</v>
      </c>
      <c r="G59" s="11" t="s">
        <v>121</v>
      </c>
      <c r="H59" s="7" t="s">
        <v>321</v>
      </c>
      <c r="I59" s="11" t="s">
        <v>322</v>
      </c>
    </row>
    <row r="60" customFormat="false" ht="18.75" hidden="false" customHeight="true" outlineLevel="0" collapsed="false">
      <c r="A60" s="11" t="s">
        <v>17</v>
      </c>
      <c r="B60" s="8" t="n">
        <v>59</v>
      </c>
      <c r="C60" s="11" t="s">
        <v>32</v>
      </c>
      <c r="D60" s="11" t="s">
        <v>323</v>
      </c>
      <c r="E60" s="9" t="s">
        <v>324</v>
      </c>
      <c r="F60" s="9" t="s">
        <v>325</v>
      </c>
      <c r="G60" s="11" t="s">
        <v>326</v>
      </c>
      <c r="H60" s="7" t="s">
        <v>327</v>
      </c>
      <c r="I60" s="11" t="s">
        <v>328</v>
      </c>
    </row>
    <row r="61" customFormat="false" ht="18.75" hidden="false" customHeight="true" outlineLevel="0" collapsed="false">
      <c r="A61" s="11" t="s">
        <v>17</v>
      </c>
      <c r="B61" s="8" t="n">
        <v>60</v>
      </c>
      <c r="C61" s="11" t="s">
        <v>18</v>
      </c>
      <c r="D61" s="11" t="s">
        <v>329</v>
      </c>
      <c r="E61" s="9" t="s">
        <v>330</v>
      </c>
      <c r="F61" s="19" t="s">
        <v>331</v>
      </c>
      <c r="G61" s="11" t="s">
        <v>332</v>
      </c>
      <c r="H61" s="7" t="s">
        <v>167</v>
      </c>
      <c r="I61" s="11" t="s">
        <v>333</v>
      </c>
    </row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F2" r:id="rId1" display="https://www.aareal-bank.com/en/downloadcenter"/>
    <hyperlink ref="F3" r:id="rId2" display="https://www.airbus.com/en/sustainability/reporting-and-performance-data/gri-reporting-performance-data"/>
    <hyperlink ref="F4" r:id="rId3" display="https://www.aixtron.com/en/sustainability/sustainability"/>
    <hyperlink ref="F5" r:id="rId4" location="reports" display="https://alstria.com/sustainability/#reports"/>
    <hyperlink ref="F6" r:id="rId5" display="https://www.aroundtown.de/sustainability/"/>
    <hyperlink ref="F10" r:id="rId6" display="https://sustainability.cancom.com/"/>
    <hyperlink ref="F11" r:id="rId7" display="https://www.zeiss.com/corporate/int/about-zeiss/sustainability.html"/>
    <hyperlink ref="F12" r:id="rId8" display="https://www.commerzbank.de/en/nachhaltigkeit/daten___fakten/publikationen/nichtfinanzielle_erklaerung/nfe_1.html"/>
    <hyperlink ref="F15" r:id="rId9" display="https://www.lufthansagroup.com/en/responsibility/reports.html"/>
    <hyperlink ref="F18" r:id="rId10" display="https://www.evotec.com/en/invest/financial-publications/financial-reports"/>
    <hyperlink ref="F22" r:id="rId11" display="https://www.gea.com/en/company/sustainability/index.jsp"/>
    <hyperlink ref="F25" r:id="rId12" display="https://www.grenke.com/investor-relations/reports-and-presentations/"/>
    <hyperlink ref="F29" r:id="rId13" display="https://www.hochtief.com/sustainability/key-figures"/>
    <hyperlink ref="F43" r:id="rId14" location="882130" display="https://www.rational-online.com/en_xx/company/investor-relations/publications/#882130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2023-02-06T21:15:32Z</dcterms:created>
  <dc:creator/>
  <dc:description/>
  <dc:language>en-US</dc:language>
  <cp:lastModifiedBy/>
  <dcterms:modified xsi:type="dcterms:W3CDTF">2024-08-13T23:44:40Z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GrapeCity, Inc.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